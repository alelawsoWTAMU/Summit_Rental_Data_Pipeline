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onecliffs-my.sharepoint.com/personal/alexander_lawson_clevelandcliffs_com/Documents/Desktop/Rental Raw Data Example/"/>
    </mc:Choice>
  </mc:AlternateContent>
  <xr:revisionPtr revIDLastSave="1" documentId="14_{093F2304-E29C-4AD5-BE97-0C434B964BE6}" xr6:coauthVersionLast="47" xr6:coauthVersionMax="47" xr10:uidLastSave="{5F729960-BB7C-4713-ADA9-3B06D7862C48}"/>
  <bookViews>
    <workbookView xWindow="-45195" yWindow="4695" windowWidth="16215" windowHeight="12525" xr2:uid="{A1C79135-59DC-4385-B9C5-44C336F7047D}"/>
  </bookViews>
  <sheets>
    <sheet name="Weekly Rental Report" sheetId="3" r:id="rId1"/>
    <sheet name="Dropdowns" sheetId="2" r:id="rId2"/>
  </sheets>
  <externalReferences>
    <externalReference r:id="rId3"/>
  </externalReferences>
  <definedNames>
    <definedName name="Categorys">[1]BULK!#REF!</definedName>
    <definedName name="_xlnm.Print_Area" localSheetId="0">'Weekly Rental Report'!$A$1:$L$21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3" l="1"/>
  <c r="I2" i="3" l="1"/>
</calcChain>
</file>

<file path=xl/sharedStrings.xml><?xml version="1.0" encoding="utf-8"?>
<sst xmlns="http://schemas.openxmlformats.org/spreadsheetml/2006/main" count="220" uniqueCount="190">
  <si>
    <t>CLEVELAND-CLIFFS BURNS HARBOR RENTAL TRACKER REPORT</t>
  </si>
  <si>
    <t>RENTAL COMPANY:</t>
  </si>
  <si>
    <t>Date:</t>
  </si>
  <si>
    <t>TYPE OF EQUIPMENT</t>
  </si>
  <si>
    <t>EQUIPMENT #</t>
  </si>
  <si>
    <t>EQUIPMENT DESCRIPTION</t>
  </si>
  <si>
    <t>DEPARTMENT CONTACT</t>
  </si>
  <si>
    <t>DATE RENTAL STARTED</t>
  </si>
  <si>
    <t>PROJECTED END DATE</t>
  </si>
  <si>
    <t>PO NUMBER</t>
  </si>
  <si>
    <t>MONTHLY RATE $</t>
  </si>
  <si>
    <t>COMMENTS</t>
  </si>
  <si>
    <t>Rental Companies</t>
  </si>
  <si>
    <t>Week Number:</t>
  </si>
  <si>
    <t>Bulk Transport Corp</t>
  </si>
  <si>
    <t>Altorfer Industries Inc</t>
  </si>
  <si>
    <t>Year:</t>
  </si>
  <si>
    <t>Service Now Request #</t>
  </si>
  <si>
    <t>COST CENTER</t>
  </si>
  <si>
    <t>DOOR LOCATION</t>
  </si>
  <si>
    <t>RENTAL_CATEGORY</t>
  </si>
  <si>
    <t>Aerator Tower</t>
  </si>
  <si>
    <t>Air Compressor</t>
  </si>
  <si>
    <t>Air Compressor Tank</t>
  </si>
  <si>
    <t>Air Compressor Trailer</t>
  </si>
  <si>
    <t>Air Conditioner</t>
  </si>
  <si>
    <t>Air Dryer</t>
  </si>
  <si>
    <t>Air Hose</t>
  </si>
  <si>
    <t>Ammonia Rental Equipment</t>
  </si>
  <si>
    <t>Analyzer</t>
  </si>
  <si>
    <t>Backhoe</t>
  </si>
  <si>
    <t>Battery</t>
  </si>
  <si>
    <t>Belt Press</t>
  </si>
  <si>
    <t>Benshaw Softstart</t>
  </si>
  <si>
    <t>Bolt</t>
  </si>
  <si>
    <t>Box Filter</t>
  </si>
  <si>
    <t>Breaker</t>
  </si>
  <si>
    <t>Bucket Truck</t>
  </si>
  <si>
    <t>Centrifuge Skid</t>
  </si>
  <si>
    <t>Chiller</t>
  </si>
  <si>
    <t>Clarifier</t>
  </si>
  <si>
    <t>Coil Truck</t>
  </si>
  <si>
    <t>Cooler</t>
  </si>
  <si>
    <t>Crane</t>
  </si>
  <si>
    <t>Cylinder</t>
  </si>
  <si>
    <t>Cylinder Gas</t>
  </si>
  <si>
    <t>Distribution Panel</t>
  </si>
  <si>
    <t>Dozer</t>
  </si>
  <si>
    <t>Dump Truck</t>
  </si>
  <si>
    <t>Electrical Cable</t>
  </si>
  <si>
    <t>Excavator</t>
  </si>
  <si>
    <t>Fan</t>
  </si>
  <si>
    <t>Fee/Service/Tax</t>
  </si>
  <si>
    <t>Feed Hopper</t>
  </si>
  <si>
    <t>Fitting</t>
  </si>
  <si>
    <t>Flange</t>
  </si>
  <si>
    <t>Flatbed Truck</t>
  </si>
  <si>
    <t>Folding Tables/Chairs</t>
  </si>
  <si>
    <t>Forklift</t>
  </si>
  <si>
    <t>Gauge</t>
  </si>
  <si>
    <t>Generator</t>
  </si>
  <si>
    <t>Grader</t>
  </si>
  <si>
    <t>Hammer</t>
  </si>
  <si>
    <t>Hauler</t>
  </si>
  <si>
    <t>Heater</t>
  </si>
  <si>
    <t>Hose</t>
  </si>
  <si>
    <t>HVAC Duct</t>
  </si>
  <si>
    <t>Hydraulic Power Unit</t>
  </si>
  <si>
    <t>Lift</t>
  </si>
  <si>
    <t>Lift Add On</t>
  </si>
  <si>
    <t>Lift Kit - Loader</t>
  </si>
  <si>
    <t>Lifting Gear</t>
  </si>
  <si>
    <t>Light Tower</t>
  </si>
  <si>
    <t>Liquid Transport Truck</t>
  </si>
  <si>
    <t>Loader</t>
  </si>
  <si>
    <t>Material Handler</t>
  </si>
  <si>
    <t>Mini-Loader</t>
  </si>
  <si>
    <t>Mini-Picker</t>
  </si>
  <si>
    <t>Mobile Trailer</t>
  </si>
  <si>
    <t>Mobile Trailer Accessories</t>
  </si>
  <si>
    <t>Motor</t>
  </si>
  <si>
    <t>Picker</t>
  </si>
  <si>
    <t>Pickup Truck</t>
  </si>
  <si>
    <t>Polymer Centrifuge</t>
  </si>
  <si>
    <t>Power Equipment</t>
  </si>
  <si>
    <t>Power Pack</t>
  </si>
  <si>
    <t>Propane</t>
  </si>
  <si>
    <t>Pump</t>
  </si>
  <si>
    <t>Rail</t>
  </si>
  <si>
    <t>Refrigerator</t>
  </si>
  <si>
    <t>Roller</t>
  </si>
  <si>
    <t>RSB Rental Equipment</t>
  </si>
  <si>
    <t>Scrubber</t>
  </si>
  <si>
    <t>Semi Truck</t>
  </si>
  <si>
    <t>Service Truck</t>
  </si>
  <si>
    <t>Slab Hauler</t>
  </si>
  <si>
    <t>Snow Removal</t>
  </si>
  <si>
    <t>Stacker</t>
  </si>
  <si>
    <t>Stake Bed Truck</t>
  </si>
  <si>
    <t>Storage</t>
  </si>
  <si>
    <t>SUV</t>
  </si>
  <si>
    <t>Sweeper</t>
  </si>
  <si>
    <t>Tank</t>
  </si>
  <si>
    <t>Tank Mixer</t>
  </si>
  <si>
    <t>Telehandler</t>
  </si>
  <si>
    <t>Telehandler Carriage</t>
  </si>
  <si>
    <t>Tool</t>
  </si>
  <si>
    <t>Torque Gun</t>
  </si>
  <si>
    <t>Tractor</t>
  </si>
  <si>
    <t>Trailer</t>
  </si>
  <si>
    <t>Trough</t>
  </si>
  <si>
    <t>Unsorted</t>
  </si>
  <si>
    <t>UTV</t>
  </si>
  <si>
    <t>Vacuum</t>
  </si>
  <si>
    <t>Van</t>
  </si>
  <si>
    <t>Vehicle Accessories</t>
  </si>
  <si>
    <t>Washer</t>
  </si>
  <si>
    <t>Welding Equipment</t>
  </si>
  <si>
    <t>Welfare</t>
  </si>
  <si>
    <t>Wood Crane Matt</t>
  </si>
  <si>
    <t>zzBakerCorp - BH, MIN, SCIH</t>
  </si>
  <si>
    <t>Herc Rentals Inc</t>
  </si>
  <si>
    <t>Rain for Rent</t>
  </si>
  <si>
    <t>Centrisys Corporation</t>
  </si>
  <si>
    <t>Alta Equipment Company</t>
  </si>
  <si>
    <t>Mobile Office Inc</t>
  </si>
  <si>
    <t>Combined Logistics LLC</t>
  </si>
  <si>
    <t>Allard Rental Corporation</t>
  </si>
  <si>
    <t>Commercial Sweeping Corp</t>
  </si>
  <si>
    <t>Central Rent-A-Crane Inc</t>
  </si>
  <si>
    <t>Waste Management</t>
  </si>
  <si>
    <t>Calumet Lift Truck Service</t>
  </si>
  <si>
    <t>Calumet Chicago Company</t>
  </si>
  <si>
    <t>Hinckley Springs</t>
  </si>
  <si>
    <t>Nalco Company</t>
  </si>
  <si>
    <t>Satellite Shelters Inc</t>
  </si>
  <si>
    <t>Red-D-Arc Inc</t>
  </si>
  <si>
    <t>Great Lakes Lifting Solutions LLC</t>
  </si>
  <si>
    <t>Service Sanitation Inc</t>
  </si>
  <si>
    <t>Lifting Gear Hire Corp</t>
  </si>
  <si>
    <t>Sandling Industrial Services Inc</t>
  </si>
  <si>
    <t>Monroe Environmental Corp</t>
  </si>
  <si>
    <t>Aggreko LLC</t>
  </si>
  <si>
    <t>Industrial Bolting Inc</t>
  </si>
  <si>
    <t>Stevenson Crane Service Inc</t>
  </si>
  <si>
    <t>American State Equipment</t>
  </si>
  <si>
    <t>Kemira Water Solutions</t>
  </si>
  <si>
    <t>Williams Scotsman Inc</t>
  </si>
  <si>
    <t>Midwest Warehousing LLC</t>
  </si>
  <si>
    <t>Marcus Allard</t>
  </si>
  <si>
    <t>Tioga</t>
  </si>
  <si>
    <t>Doug Shaw</t>
  </si>
  <si>
    <t>Aqueous Parts Washer - SJ15</t>
  </si>
  <si>
    <t>B990935</t>
  </si>
  <si>
    <t>B986055</t>
  </si>
  <si>
    <t>B977878</t>
  </si>
  <si>
    <t>B990018</t>
  </si>
  <si>
    <t>B972467</t>
  </si>
  <si>
    <t>B987022</t>
  </si>
  <si>
    <t>B977115</t>
  </si>
  <si>
    <t>Adam Yager</t>
  </si>
  <si>
    <t>Don Wilhelm / Richard A Hale</t>
  </si>
  <si>
    <t>Jacob Seger / Daniel Drummond</t>
  </si>
  <si>
    <t>Daniel Drummond</t>
  </si>
  <si>
    <t>Tyler Botbyl - Adam Poparad</t>
  </si>
  <si>
    <t>Tim Gronek</t>
  </si>
  <si>
    <t>James Zrodlowski</t>
  </si>
  <si>
    <t>Mike Matula</t>
  </si>
  <si>
    <t>Rick Jankowicz</t>
  </si>
  <si>
    <t>Bryan Lopez</t>
  </si>
  <si>
    <t>0050</t>
  </si>
  <si>
    <t>076S</t>
  </si>
  <si>
    <t>S. Chgo</t>
  </si>
  <si>
    <t>Aqueous Parts Washer - 2518</t>
  </si>
  <si>
    <t>Aqueous Parts Washer - 3648</t>
  </si>
  <si>
    <t>Aqueous Parts Washer - 4860</t>
  </si>
  <si>
    <t>Aqueous Parts Washer - 2840</t>
  </si>
  <si>
    <t>Aqueous Parts Washer - 2412</t>
  </si>
  <si>
    <t>Gus Sandilla</t>
  </si>
  <si>
    <t>Matthew Hoyert</t>
  </si>
  <si>
    <t>Taylor Heil</t>
  </si>
  <si>
    <t>D013221</t>
  </si>
  <si>
    <t>B992853</t>
  </si>
  <si>
    <t>D013750</t>
  </si>
  <si>
    <t>D030688</t>
  </si>
  <si>
    <t>D030517</t>
  </si>
  <si>
    <t>D025883</t>
  </si>
  <si>
    <t>D027642</t>
  </si>
  <si>
    <t>D038508</t>
  </si>
  <si>
    <t>D037379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</si>
</sst>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3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name val="Aptos Narrow"/>
      <family val="2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44" fontId="8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3" fontId="5" fillId="2" borderId="6" xfId="0" applyNumberFormat="1" applyFont="1" applyFill="1" applyBorder="1" applyAlignment="1">
      <alignment horizontal="center" vertical="top" wrapText="1"/>
    </xf>
    <xf numFmtId="0" fontId="5" fillId="2" borderId="6" xfId="0" applyFont="1" applyFill="1" applyBorder="1" applyAlignment="1">
      <alignment horizontal="center" vertical="top" wrapText="1"/>
    </xf>
    <xf numFmtId="4" fontId="5" fillId="2" borderId="6" xfId="0" applyNumberFormat="1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7" fillId="0" borderId="0" xfId="1"/>
    <xf numFmtId="1" fontId="6" fillId="4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44" fontId="0" fillId="0" borderId="0" xfId="2" applyFont="1"/>
    <xf numFmtId="0" fontId="0" fillId="0" borderId="0" xfId="0" quotePrefix="1" applyAlignment="1">
      <alignment horizontal="right"/>
    </xf>
    <xf numFmtId="16" fontId="0" fillId="0" borderId="0" xfId="0" applyNumberFormat="1"/>
    <xf numFmtId="0" fontId="9" fillId="0" borderId="0" xfId="0" applyFont="1"/>
    <xf numFmtId="0" fontId="4" fillId="2" borderId="1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14" fontId="3" fillId="3" borderId="1" xfId="0" applyNumberFormat="1" applyFont="1" applyFill="1" applyBorder="1" applyAlignment="1">
      <alignment horizontal="center" vertical="top" wrapText="1"/>
    </xf>
    <xf numFmtId="14" fontId="3" fillId="3" borderId="2" xfId="0" applyNumberFormat="1" applyFont="1" applyFill="1" applyBorder="1" applyAlignment="1">
      <alignment horizontal="center" vertical="top" wrapText="1"/>
    </xf>
    <xf numFmtId="1" fontId="6" fillId="4" borderId="3" xfId="0" applyNumberFormat="1" applyFont="1" applyFill="1" applyBorder="1" applyAlignment="1">
      <alignment horizontal="center" vertical="top" wrapText="1"/>
    </xf>
  </cellXfs>
  <cellStyles count="3">
    <cellStyle name="Currency" xfId="2" builtinId="4"/>
    <cellStyle name="Normal" xfId="0" builtinId="0"/>
    <cellStyle name="Normal 2" xfId="1" xr:uid="{A37D5819-BC9D-42DF-8827-430E359EB68C}"/>
  </cellStyles>
  <dxfs count="9"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ptos Narrow"/>
        <family val="2"/>
        <scheme val="minor"/>
      </font>
      <numFmt numFmtId="4" formatCode="#,##0.00"/>
      <fill>
        <patternFill patternType="solid">
          <fgColor indexed="64"/>
          <bgColor theme="0" tint="-0.1499984740745262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13152\AppData\Local\Microsoft\Windows\INetCache\Content.Outlook\2EE7AHPN\Weekly%20rent.xlsx" TargetMode="External"/><Relationship Id="rId1" Type="http://schemas.openxmlformats.org/officeDocument/2006/relationships/externalLinkPath" Target="file:///C:\Users\a13152\AppData\Local\Microsoft\Windows\INetCache\Content.Outlook\2EE7AHPN\Weekly%20r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LK"/>
      <sheetName val="CENTRAL CRANE"/>
      <sheetName val="MARCUS ALLARD"/>
      <sheetName val="Altorfer"/>
      <sheetName val="HERC"/>
      <sheetName val="ALTA"/>
      <sheetName val="Calumet Lift"/>
      <sheetName val="AGGREKO"/>
      <sheetName val="RED D ARC"/>
      <sheetName val="Tioga"/>
      <sheetName val="Stevenson Crane"/>
      <sheetName val="Rain for Rent"/>
      <sheetName val="BURNS HARBOR PLAN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35D9CB-2135-420B-9CF0-453E624FA23B}" name="Table22" displayName="Table22" ref="A3:L100" totalsRowShown="0" headerRowDxfId="8" headerRowBorderDxfId="7" tableBorderDxfId="6">
  <autoFilter ref="A3:L100" xr:uid="{DB35D9CB-2135-420B-9CF0-453E624FA23B}"/>
  <sortState xmlns:xlrd2="http://schemas.microsoft.com/office/spreadsheetml/2017/richdata2" ref="A4:L19">
    <sortCondition ref="C3:C100"/>
  </sortState>
  <tableColumns count="12">
    <tableColumn id="1" xr3:uid="{669E4FB5-C7AB-42AF-A885-284D6131C6BB}" name="TYPE OF EQUIPMENT"/>
    <tableColumn id="2" xr3:uid="{811BF1F3-6526-462D-95CA-C03AD0B6920F}" name="DEPARTMENT CONTACT"/>
    <tableColumn id="20" xr3:uid="{33EA9D88-ACFA-40F4-B735-701AE5D5F41F}" name="EQUIPMENT #" dataDxfId="5"/>
    <tableColumn id="3" xr3:uid="{1411AB9A-80D9-4A6F-AAFF-D756D197A831}" name="EQUIPMENT DESCRIPTION" dataDxfId="4"/>
    <tableColumn id="4" xr3:uid="{B1E30DFB-07BC-44F2-BAC8-A0651690C1DC}" name="DOOR LOCATION" dataDxfId="3"/>
    <tableColumn id="5" xr3:uid="{2C28570C-D737-481E-AF4C-DD9008688D31}" name="DATE RENTAL STARTED"/>
    <tableColumn id="7" xr3:uid="{AFA1009D-94AD-42E8-9597-EB62CD1C3EA1}" name="PROJECTED END DATE" dataDxfId="2"/>
    <tableColumn id="8" xr3:uid="{527705AE-E910-498F-ABA5-241D8C722E38}" name="COST CENTER" dataDxfId="1"/>
    <tableColumn id="9" xr3:uid="{CA434A08-C4C4-46E6-830F-28A2CF9C9ED5}" name="PO NUMBER"/>
    <tableColumn id="11" xr3:uid="{79747C2B-C30B-4F07-BE6F-2D587A196140}" name="Service Now Request #" dataDxfId="0"/>
    <tableColumn id="12" xr3:uid="{2A96E9C6-E4FC-4FE7-A200-F3010AA59FF6}" name="MONTHLY RATE $"/>
    <tableColumn id="13" xr3:uid="{4091AE02-AFCA-4897-BC62-421611762637}" name="COMMENTS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14025-FBF0-4F79-8A96-460D27099BB7}">
  <sheetPr>
    <pageSetUpPr fitToPage="1"/>
  </sheetPr>
  <dimension ref="A1:L19"/>
  <sheetViews>
    <sheetView tabSelected="1" topLeftCell="B1" zoomScaleNormal="100" workbookViewId="0">
      <selection activeCell="H15" sqref="H15"/>
    </sheetView>
  </sheetViews>
  <sheetFormatPr defaultRowHeight="14.5" x14ac:dyDescent="0.35"/>
  <cols>
    <col min="1" max="1" width="12.1796875" bestFit="1" customWidth="1"/>
    <col min="2" max="2" width="27.36328125" bestFit="1" customWidth="1"/>
    <col min="3" max="3" width="12.1796875" bestFit="1" customWidth="1"/>
    <col min="4" max="4" width="26.54296875" bestFit="1" customWidth="1"/>
    <col min="5" max="5" width="11.81640625" customWidth="1"/>
    <col min="6" max="6" width="12.08984375" bestFit="1" customWidth="1"/>
    <col min="7" max="7" width="13" bestFit="1" customWidth="1"/>
    <col min="8" max="8" width="11.36328125" bestFit="1" customWidth="1"/>
    <col min="11" max="11" width="10.453125" bestFit="1" customWidth="1"/>
    <col min="12" max="12" width="12.1796875" customWidth="1"/>
  </cols>
  <sheetData>
    <row r="1" spans="1:12" ht="23.5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37" x14ac:dyDescent="0.35">
      <c r="A2" s="10" t="s">
        <v>1</v>
      </c>
      <c r="B2" s="17" t="s">
        <v>132</v>
      </c>
      <c r="C2" s="17"/>
      <c r="D2" s="17"/>
      <c r="E2" s="2" t="s">
        <v>2</v>
      </c>
      <c r="F2" s="18">
        <v>46098</v>
      </c>
      <c r="G2" s="19"/>
      <c r="H2" s="3" t="s">
        <v>13</v>
      </c>
      <c r="I2" s="9">
        <f>IF(ISBLANK(TRUE),"0",WEEKNUM($F$2))</f>
        <v>12</v>
      </c>
      <c r="J2" s="7" t="s">
        <v>16</v>
      </c>
      <c r="K2" s="20">
        <f>IF(ISBLANK(TRUE),"0",YEAR($F$2))</f>
        <v>2026</v>
      </c>
      <c r="L2" s="20"/>
    </row>
    <row r="3" spans="1:12" ht="39" x14ac:dyDescent="0.35">
      <c r="A3" s="4" t="s">
        <v>3</v>
      </c>
      <c r="B3" s="5" t="s">
        <v>6</v>
      </c>
      <c r="C3" s="6" t="s">
        <v>4</v>
      </c>
      <c r="D3" s="6" t="s">
        <v>5</v>
      </c>
      <c r="E3" s="6" t="s">
        <v>19</v>
      </c>
      <c r="F3" s="6" t="s">
        <v>7</v>
      </c>
      <c r="G3" s="6" t="s">
        <v>8</v>
      </c>
      <c r="H3" s="6" t="s">
        <v>18</v>
      </c>
      <c r="I3" s="6" t="s">
        <v>9</v>
      </c>
      <c r="J3" s="6" t="s">
        <v>17</v>
      </c>
      <c r="K3" s="6" t="s">
        <v>10</v>
      </c>
      <c r="L3" s="6" t="s">
        <v>11</v>
      </c>
    </row>
    <row r="4" spans="1:12" x14ac:dyDescent="0.35">
      <c r="A4" t="s">
        <v>116</v>
      </c>
      <c r="B4" t="s">
        <v>165</v>
      </c>
      <c r="C4">
        <v>10025</v>
      </c>
      <c r="D4" t="s">
        <v>152</v>
      </c>
      <c r="E4" t="s">
        <v>170</v>
      </c>
      <c r="F4" s="13">
        <v>45719</v>
      </c>
      <c r="G4" s="13">
        <v>45751</v>
      </c>
      <c r="I4" t="s">
        <v>156</v>
      </c>
      <c r="K4" s="11">
        <v>535</v>
      </c>
      <c r="L4" s="14"/>
    </row>
    <row r="5" spans="1:12" x14ac:dyDescent="0.35">
      <c r="A5" t="s">
        <v>116</v>
      </c>
      <c r="B5" t="s">
        <v>169</v>
      </c>
      <c r="C5">
        <v>10040</v>
      </c>
      <c r="D5" t="s">
        <v>177</v>
      </c>
      <c r="E5" t="s">
        <v>172</v>
      </c>
      <c r="F5" s="13">
        <v>45733</v>
      </c>
      <c r="G5" s="13">
        <v>45763</v>
      </c>
      <c r="I5" t="s">
        <v>158</v>
      </c>
      <c r="K5" s="11">
        <v>285.2</v>
      </c>
      <c r="L5" s="14"/>
    </row>
    <row r="6" spans="1:12" x14ac:dyDescent="0.35">
      <c r="A6" t="s">
        <v>116</v>
      </c>
      <c r="B6" t="s">
        <v>178</v>
      </c>
      <c r="C6">
        <v>10054</v>
      </c>
      <c r="D6" t="s">
        <v>152</v>
      </c>
      <c r="E6">
        <v>3018</v>
      </c>
      <c r="F6" s="13">
        <v>45739</v>
      </c>
      <c r="G6" s="13">
        <v>45767</v>
      </c>
      <c r="I6" t="s">
        <v>159</v>
      </c>
      <c r="K6" s="11">
        <v>535</v>
      </c>
      <c r="L6" s="14"/>
    </row>
    <row r="7" spans="1:12" x14ac:dyDescent="0.35">
      <c r="A7" t="s">
        <v>116</v>
      </c>
      <c r="B7" t="s">
        <v>151</v>
      </c>
      <c r="C7">
        <v>10058</v>
      </c>
      <c r="D7" t="s">
        <v>152</v>
      </c>
      <c r="E7">
        <v>7054</v>
      </c>
      <c r="F7" s="13">
        <v>45722</v>
      </c>
      <c r="G7" s="13">
        <v>45752</v>
      </c>
      <c r="I7" t="s">
        <v>184</v>
      </c>
      <c r="K7" s="11">
        <v>535</v>
      </c>
      <c r="L7" s="14"/>
    </row>
    <row r="8" spans="1:12" x14ac:dyDescent="0.35">
      <c r="A8" t="s">
        <v>116</v>
      </c>
      <c r="B8" t="s">
        <v>166</v>
      </c>
      <c r="C8">
        <v>10060</v>
      </c>
      <c r="D8" t="s">
        <v>174</v>
      </c>
      <c r="E8" s="12" t="s">
        <v>171</v>
      </c>
      <c r="F8" s="13">
        <v>45730</v>
      </c>
      <c r="G8" s="13">
        <v>45761</v>
      </c>
      <c r="I8" t="s">
        <v>157</v>
      </c>
      <c r="K8" s="11">
        <v>1120</v>
      </c>
      <c r="L8" s="14"/>
    </row>
    <row r="9" spans="1:12" x14ac:dyDescent="0.35">
      <c r="A9" t="s">
        <v>116</v>
      </c>
      <c r="B9" t="s">
        <v>160</v>
      </c>
      <c r="C9">
        <v>10067</v>
      </c>
      <c r="D9" t="s">
        <v>173</v>
      </c>
      <c r="E9">
        <v>3010</v>
      </c>
      <c r="F9" s="13">
        <v>45742</v>
      </c>
      <c r="G9" s="13">
        <v>45772</v>
      </c>
      <c r="I9" t="s">
        <v>189</v>
      </c>
      <c r="K9" s="11">
        <v>631.75</v>
      </c>
      <c r="L9" s="14"/>
    </row>
    <row r="10" spans="1:12" x14ac:dyDescent="0.35">
      <c r="A10" t="s">
        <v>116</v>
      </c>
      <c r="B10" t="s">
        <v>165</v>
      </c>
      <c r="C10">
        <v>10068</v>
      </c>
      <c r="D10" t="s">
        <v>175</v>
      </c>
      <c r="E10" s="12" t="s">
        <v>170</v>
      </c>
      <c r="F10" s="13">
        <v>45739</v>
      </c>
      <c r="G10" s="13">
        <v>45771</v>
      </c>
      <c r="I10" t="s">
        <v>181</v>
      </c>
      <c r="K10" s="11">
        <v>1950</v>
      </c>
      <c r="L10" s="14"/>
    </row>
    <row r="11" spans="1:12" x14ac:dyDescent="0.35">
      <c r="A11" t="s">
        <v>116</v>
      </c>
      <c r="B11" t="s">
        <v>167</v>
      </c>
      <c r="C11">
        <v>10070</v>
      </c>
      <c r="D11" t="s">
        <v>152</v>
      </c>
      <c r="E11">
        <v>55</v>
      </c>
      <c r="F11" s="13">
        <v>45724</v>
      </c>
      <c r="G11" s="13">
        <v>45754</v>
      </c>
      <c r="I11" t="s">
        <v>185</v>
      </c>
      <c r="K11" s="11">
        <v>535</v>
      </c>
      <c r="L11" s="14"/>
    </row>
    <row r="12" spans="1:12" x14ac:dyDescent="0.35">
      <c r="A12" t="s">
        <v>116</v>
      </c>
      <c r="B12" t="s">
        <v>167</v>
      </c>
      <c r="C12">
        <v>10071</v>
      </c>
      <c r="D12" t="s">
        <v>174</v>
      </c>
      <c r="E12">
        <v>55</v>
      </c>
      <c r="F12" s="13">
        <v>45742</v>
      </c>
      <c r="G12" s="13">
        <v>45772</v>
      </c>
      <c r="I12" t="s">
        <v>183</v>
      </c>
      <c r="K12" s="11">
        <v>1120</v>
      </c>
      <c r="L12" s="14"/>
    </row>
    <row r="13" spans="1:12" x14ac:dyDescent="0.35">
      <c r="A13" t="s">
        <v>116</v>
      </c>
      <c r="B13" t="s">
        <v>161</v>
      </c>
      <c r="C13">
        <v>10080</v>
      </c>
      <c r="D13" t="s">
        <v>174</v>
      </c>
      <c r="E13">
        <v>3002</v>
      </c>
      <c r="F13" s="13">
        <v>45744</v>
      </c>
      <c r="G13" s="13">
        <v>45774</v>
      </c>
      <c r="I13" t="s">
        <v>187</v>
      </c>
      <c r="K13" s="11">
        <v>1120</v>
      </c>
      <c r="L13" s="14"/>
    </row>
    <row r="14" spans="1:12" x14ac:dyDescent="0.35">
      <c r="A14" t="s">
        <v>116</v>
      </c>
      <c r="B14" t="s">
        <v>168</v>
      </c>
      <c r="C14">
        <v>10081</v>
      </c>
      <c r="D14" t="s">
        <v>174</v>
      </c>
      <c r="E14">
        <v>30</v>
      </c>
      <c r="F14" s="13">
        <v>45724</v>
      </c>
      <c r="G14" s="13">
        <v>45754</v>
      </c>
      <c r="I14" t="s">
        <v>188</v>
      </c>
      <c r="K14" s="11">
        <v>1120</v>
      </c>
      <c r="L14" s="14"/>
    </row>
    <row r="15" spans="1:12" x14ac:dyDescent="0.35">
      <c r="A15" t="s">
        <v>116</v>
      </c>
      <c r="B15" t="s">
        <v>162</v>
      </c>
      <c r="C15">
        <v>10086</v>
      </c>
      <c r="D15" t="s">
        <v>176</v>
      </c>
      <c r="E15">
        <v>6003</v>
      </c>
      <c r="F15" s="13">
        <v>45733</v>
      </c>
      <c r="G15" s="13">
        <v>45763</v>
      </c>
      <c r="I15" t="s">
        <v>154</v>
      </c>
      <c r="K15" s="11">
        <v>730</v>
      </c>
      <c r="L15" s="14"/>
    </row>
    <row r="16" spans="1:12" x14ac:dyDescent="0.35">
      <c r="A16" t="s">
        <v>116</v>
      </c>
      <c r="B16" t="s">
        <v>163</v>
      </c>
      <c r="C16">
        <v>10087</v>
      </c>
      <c r="D16" t="s">
        <v>176</v>
      </c>
      <c r="E16">
        <v>6080</v>
      </c>
      <c r="F16" s="13">
        <v>45726</v>
      </c>
      <c r="G16" s="13">
        <v>45756</v>
      </c>
      <c r="I16" t="s">
        <v>186</v>
      </c>
      <c r="K16" s="11">
        <v>730</v>
      </c>
      <c r="L16" s="14"/>
    </row>
    <row r="17" spans="1:12" x14ac:dyDescent="0.35">
      <c r="A17" t="s">
        <v>116</v>
      </c>
      <c r="B17" t="s">
        <v>164</v>
      </c>
      <c r="C17">
        <v>10090</v>
      </c>
      <c r="D17" t="s">
        <v>175</v>
      </c>
      <c r="E17">
        <v>5005</v>
      </c>
      <c r="F17" s="13">
        <v>45741</v>
      </c>
      <c r="G17" s="13">
        <v>45771</v>
      </c>
      <c r="I17" t="s">
        <v>155</v>
      </c>
      <c r="K17" s="11">
        <v>1950</v>
      </c>
      <c r="L17" s="14"/>
    </row>
    <row r="18" spans="1:12" x14ac:dyDescent="0.35">
      <c r="A18" t="s">
        <v>116</v>
      </c>
      <c r="B18" t="s">
        <v>180</v>
      </c>
      <c r="C18">
        <v>10099</v>
      </c>
      <c r="D18" t="s">
        <v>174</v>
      </c>
      <c r="E18">
        <v>6026</v>
      </c>
      <c r="F18" s="13">
        <v>45719</v>
      </c>
      <c r="G18" s="13">
        <v>45751</v>
      </c>
      <c r="I18" t="s">
        <v>153</v>
      </c>
      <c r="K18" s="11">
        <v>1120</v>
      </c>
      <c r="L18" s="14"/>
    </row>
    <row r="19" spans="1:12" x14ac:dyDescent="0.35">
      <c r="A19" t="s">
        <v>116</v>
      </c>
      <c r="B19" t="s">
        <v>179</v>
      </c>
      <c r="C19">
        <v>10104</v>
      </c>
      <c r="D19" t="s">
        <v>175</v>
      </c>
      <c r="E19">
        <v>6030</v>
      </c>
      <c r="F19" s="13">
        <v>45741</v>
      </c>
      <c r="G19" s="13">
        <v>45771</v>
      </c>
      <c r="I19" t="s">
        <v>182</v>
      </c>
      <c r="K19" s="11">
        <v>1950</v>
      </c>
      <c r="L19" s="14"/>
    </row>
  </sheetData>
  <mergeCells count="4">
    <mergeCell ref="A1:L1"/>
    <mergeCell ref="B2:D2"/>
    <mergeCell ref="F2:G2"/>
    <mergeCell ref="K2:L2"/>
  </mergeCells>
  <pageMargins left="0.7" right="0.7" top="0.75" bottom="0.75" header="0.3" footer="0.3"/>
  <pageSetup scale="77" fitToHeight="0" orientation="landscape" blackAndWhite="1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AF822BF-A4CD-40BF-A3F3-528A4979FFA4}">
          <x14:formula1>
            <xm:f>Dropdowns!$B$3:$B$101</xm:f>
          </x14:formula1>
          <xm:sqref>A4:A100</xm:sqref>
        </x14:dataValidation>
        <x14:dataValidation type="list" allowBlank="1" showInputMessage="1" showErrorMessage="1" xr:uid="{B04EC848-F33D-485A-9A98-76C2E2BEB17A}">
          <x14:formula1>
            <xm:f>Dropdowns!$A$2:$A$34</xm:f>
          </x14:formula1>
          <xm:sqref>B2:D2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73B27-58E7-4718-AF31-31E95E030AA4}">
  <dimension ref="A1:B101"/>
  <sheetViews>
    <sheetView topLeftCell="A13" workbookViewId="0">
      <selection activeCell="A32" sqref="A32"/>
    </sheetView>
  </sheetViews>
  <sheetFormatPr defaultRowHeight="14.5" x14ac:dyDescent="0.35"/>
  <cols>
    <col min="1" max="1" width="28.08984375" bestFit="1" customWidth="1"/>
    <col min="2" max="2" width="24.81640625" bestFit="1" customWidth="1"/>
  </cols>
  <sheetData>
    <row r="1" spans="1:2" x14ac:dyDescent="0.35">
      <c r="A1" s="1" t="s">
        <v>12</v>
      </c>
      <c r="B1" s="1" t="s">
        <v>20</v>
      </c>
    </row>
    <row r="2" spans="1:2" x14ac:dyDescent="0.35">
      <c r="A2" s="8" t="s">
        <v>142</v>
      </c>
    </row>
    <row r="3" spans="1:2" x14ac:dyDescent="0.35">
      <c r="A3" s="8" t="s">
        <v>127</v>
      </c>
      <c r="B3" t="s">
        <v>21</v>
      </c>
    </row>
    <row r="4" spans="1:2" x14ac:dyDescent="0.35">
      <c r="A4" s="8" t="s">
        <v>124</v>
      </c>
      <c r="B4" t="s">
        <v>22</v>
      </c>
    </row>
    <row r="5" spans="1:2" x14ac:dyDescent="0.35">
      <c r="A5" s="8" t="s">
        <v>15</v>
      </c>
      <c r="B5" t="s">
        <v>23</v>
      </c>
    </row>
    <row r="6" spans="1:2" x14ac:dyDescent="0.35">
      <c r="A6" s="8" t="s">
        <v>145</v>
      </c>
      <c r="B6" t="s">
        <v>24</v>
      </c>
    </row>
    <row r="7" spans="1:2" x14ac:dyDescent="0.35">
      <c r="A7" s="8" t="s">
        <v>14</v>
      </c>
      <c r="B7" t="s">
        <v>25</v>
      </c>
    </row>
    <row r="8" spans="1:2" x14ac:dyDescent="0.35">
      <c r="A8" s="8" t="s">
        <v>132</v>
      </c>
      <c r="B8" t="s">
        <v>26</v>
      </c>
    </row>
    <row r="9" spans="1:2" x14ac:dyDescent="0.35">
      <c r="A9" s="8" t="s">
        <v>131</v>
      </c>
      <c r="B9" t="s">
        <v>27</v>
      </c>
    </row>
    <row r="10" spans="1:2" x14ac:dyDescent="0.35">
      <c r="A10" s="8" t="s">
        <v>129</v>
      </c>
      <c r="B10" t="s">
        <v>28</v>
      </c>
    </row>
    <row r="11" spans="1:2" x14ac:dyDescent="0.35">
      <c r="A11" s="8" t="s">
        <v>123</v>
      </c>
      <c r="B11" t="s">
        <v>29</v>
      </c>
    </row>
    <row r="12" spans="1:2" x14ac:dyDescent="0.35">
      <c r="A12" s="8" t="s">
        <v>126</v>
      </c>
      <c r="B12" t="s">
        <v>30</v>
      </c>
    </row>
    <row r="13" spans="1:2" x14ac:dyDescent="0.35">
      <c r="A13" s="8" t="s">
        <v>128</v>
      </c>
      <c r="B13" t="s">
        <v>31</v>
      </c>
    </row>
    <row r="14" spans="1:2" x14ac:dyDescent="0.35">
      <c r="A14" s="8" t="s">
        <v>137</v>
      </c>
      <c r="B14" t="s">
        <v>32</v>
      </c>
    </row>
    <row r="15" spans="1:2" x14ac:dyDescent="0.35">
      <c r="A15" s="8" t="s">
        <v>121</v>
      </c>
      <c r="B15" t="s">
        <v>33</v>
      </c>
    </row>
    <row r="16" spans="1:2" x14ac:dyDescent="0.35">
      <c r="A16" s="8" t="s">
        <v>133</v>
      </c>
      <c r="B16" t="s">
        <v>34</v>
      </c>
    </row>
    <row r="17" spans="1:2" x14ac:dyDescent="0.35">
      <c r="A17" s="8" t="s">
        <v>143</v>
      </c>
      <c r="B17" t="s">
        <v>35</v>
      </c>
    </row>
    <row r="18" spans="1:2" x14ac:dyDescent="0.35">
      <c r="A18" s="8" t="s">
        <v>146</v>
      </c>
      <c r="B18" t="s">
        <v>36</v>
      </c>
    </row>
    <row r="19" spans="1:2" x14ac:dyDescent="0.35">
      <c r="A19" s="8" t="s">
        <v>139</v>
      </c>
      <c r="B19" t="s">
        <v>37</v>
      </c>
    </row>
    <row r="20" spans="1:2" x14ac:dyDescent="0.35">
      <c r="A20" s="8" t="s">
        <v>149</v>
      </c>
      <c r="B20" t="s">
        <v>38</v>
      </c>
    </row>
    <row r="21" spans="1:2" x14ac:dyDescent="0.35">
      <c r="A21" s="8" t="s">
        <v>148</v>
      </c>
      <c r="B21" t="s">
        <v>39</v>
      </c>
    </row>
    <row r="22" spans="1:2" x14ac:dyDescent="0.35">
      <c r="A22" s="8" t="s">
        <v>125</v>
      </c>
      <c r="B22" t="s">
        <v>40</v>
      </c>
    </row>
    <row r="23" spans="1:2" x14ac:dyDescent="0.35">
      <c r="A23" s="8" t="s">
        <v>141</v>
      </c>
      <c r="B23" t="s">
        <v>41</v>
      </c>
    </row>
    <row r="24" spans="1:2" x14ac:dyDescent="0.35">
      <c r="A24" s="8" t="s">
        <v>134</v>
      </c>
      <c r="B24" t="s">
        <v>42</v>
      </c>
    </row>
    <row r="25" spans="1:2" x14ac:dyDescent="0.35">
      <c r="A25" s="8" t="s">
        <v>122</v>
      </c>
      <c r="B25" t="s">
        <v>43</v>
      </c>
    </row>
    <row r="26" spans="1:2" x14ac:dyDescent="0.35">
      <c r="A26" s="8" t="s">
        <v>136</v>
      </c>
      <c r="B26" t="s">
        <v>44</v>
      </c>
    </row>
    <row r="27" spans="1:2" x14ac:dyDescent="0.35">
      <c r="A27" s="8" t="s">
        <v>140</v>
      </c>
      <c r="B27" t="s">
        <v>45</v>
      </c>
    </row>
    <row r="28" spans="1:2" x14ac:dyDescent="0.35">
      <c r="A28" s="8" t="s">
        <v>135</v>
      </c>
      <c r="B28" t="s">
        <v>46</v>
      </c>
    </row>
    <row r="29" spans="1:2" x14ac:dyDescent="0.35">
      <c r="A29" s="8" t="s">
        <v>138</v>
      </c>
      <c r="B29" t="s">
        <v>47</v>
      </c>
    </row>
    <row r="30" spans="1:2" x14ac:dyDescent="0.35">
      <c r="A30" s="8" t="s">
        <v>144</v>
      </c>
      <c r="B30" t="s">
        <v>48</v>
      </c>
    </row>
    <row r="31" spans="1:2" x14ac:dyDescent="0.35">
      <c r="A31" s="8" t="s">
        <v>150</v>
      </c>
      <c r="B31" t="s">
        <v>49</v>
      </c>
    </row>
    <row r="32" spans="1:2" x14ac:dyDescent="0.35">
      <c r="A32" s="8" t="s">
        <v>130</v>
      </c>
      <c r="B32" t="s">
        <v>50</v>
      </c>
    </row>
    <row r="33" spans="1:2" x14ac:dyDescent="0.35">
      <c r="A33" s="8" t="s">
        <v>147</v>
      </c>
      <c r="B33" t="s">
        <v>51</v>
      </c>
    </row>
    <row r="34" spans="1:2" x14ac:dyDescent="0.35">
      <c r="A34" s="8" t="s">
        <v>120</v>
      </c>
      <c r="B34" t="s">
        <v>52</v>
      </c>
    </row>
    <row r="35" spans="1:2" x14ac:dyDescent="0.35">
      <c r="B35" t="s">
        <v>53</v>
      </c>
    </row>
    <row r="36" spans="1:2" x14ac:dyDescent="0.35">
      <c r="B36" t="s">
        <v>54</v>
      </c>
    </row>
    <row r="37" spans="1:2" x14ac:dyDescent="0.35">
      <c r="B37" t="s">
        <v>55</v>
      </c>
    </row>
    <row r="38" spans="1:2" x14ac:dyDescent="0.35">
      <c r="B38" t="s">
        <v>56</v>
      </c>
    </row>
    <row r="39" spans="1:2" x14ac:dyDescent="0.35">
      <c r="B39" t="s">
        <v>57</v>
      </c>
    </row>
    <row r="40" spans="1:2" x14ac:dyDescent="0.35">
      <c r="B40" t="s">
        <v>58</v>
      </c>
    </row>
    <row r="41" spans="1:2" x14ac:dyDescent="0.35">
      <c r="B41" t="s">
        <v>59</v>
      </c>
    </row>
    <row r="42" spans="1:2" x14ac:dyDescent="0.35">
      <c r="B42" t="s">
        <v>60</v>
      </c>
    </row>
    <row r="43" spans="1:2" x14ac:dyDescent="0.35">
      <c r="B43" t="s">
        <v>61</v>
      </c>
    </row>
    <row r="44" spans="1:2" x14ac:dyDescent="0.35">
      <c r="B44" t="s">
        <v>62</v>
      </c>
    </row>
    <row r="45" spans="1:2" x14ac:dyDescent="0.35">
      <c r="B45" t="s">
        <v>63</v>
      </c>
    </row>
    <row r="46" spans="1:2" x14ac:dyDescent="0.35">
      <c r="B46" t="s">
        <v>64</v>
      </c>
    </row>
    <row r="47" spans="1:2" x14ac:dyDescent="0.35">
      <c r="B47" t="s">
        <v>65</v>
      </c>
    </row>
    <row r="48" spans="1:2" x14ac:dyDescent="0.35">
      <c r="B48" t="s">
        <v>66</v>
      </c>
    </row>
    <row r="49" spans="2:2" x14ac:dyDescent="0.35">
      <c r="B49" t="s">
        <v>67</v>
      </c>
    </row>
    <row r="50" spans="2:2" x14ac:dyDescent="0.35">
      <c r="B50" t="s">
        <v>68</v>
      </c>
    </row>
    <row r="51" spans="2:2" x14ac:dyDescent="0.35">
      <c r="B51" t="s">
        <v>69</v>
      </c>
    </row>
    <row r="52" spans="2:2" x14ac:dyDescent="0.35">
      <c r="B52" t="s">
        <v>70</v>
      </c>
    </row>
    <row r="53" spans="2:2" x14ac:dyDescent="0.35">
      <c r="B53" t="s">
        <v>71</v>
      </c>
    </row>
    <row r="54" spans="2:2" x14ac:dyDescent="0.35">
      <c r="B54" t="s">
        <v>72</v>
      </c>
    </row>
    <row r="55" spans="2:2" x14ac:dyDescent="0.35">
      <c r="B55" t="s">
        <v>73</v>
      </c>
    </row>
    <row r="56" spans="2:2" x14ac:dyDescent="0.35">
      <c r="B56" t="s">
        <v>74</v>
      </c>
    </row>
    <row r="57" spans="2:2" x14ac:dyDescent="0.35">
      <c r="B57" t="s">
        <v>75</v>
      </c>
    </row>
    <row r="58" spans="2:2" x14ac:dyDescent="0.35">
      <c r="B58" t="s">
        <v>76</v>
      </c>
    </row>
    <row r="59" spans="2:2" x14ac:dyDescent="0.35">
      <c r="B59" t="s">
        <v>77</v>
      </c>
    </row>
    <row r="60" spans="2:2" x14ac:dyDescent="0.35">
      <c r="B60" t="s">
        <v>78</v>
      </c>
    </row>
    <row r="61" spans="2:2" x14ac:dyDescent="0.35">
      <c r="B61" t="s">
        <v>79</v>
      </c>
    </row>
    <row r="62" spans="2:2" x14ac:dyDescent="0.35">
      <c r="B62" t="s">
        <v>80</v>
      </c>
    </row>
    <row r="63" spans="2:2" x14ac:dyDescent="0.35">
      <c r="B63" t="s">
        <v>81</v>
      </c>
    </row>
    <row r="64" spans="2:2" x14ac:dyDescent="0.35">
      <c r="B64" t="s">
        <v>82</v>
      </c>
    </row>
    <row r="65" spans="2:2" x14ac:dyDescent="0.35">
      <c r="B65" t="s">
        <v>83</v>
      </c>
    </row>
    <row r="66" spans="2:2" x14ac:dyDescent="0.35">
      <c r="B66" t="s">
        <v>84</v>
      </c>
    </row>
    <row r="67" spans="2:2" x14ac:dyDescent="0.35">
      <c r="B67" t="s">
        <v>85</v>
      </c>
    </row>
    <row r="68" spans="2:2" x14ac:dyDescent="0.35">
      <c r="B68" t="s">
        <v>86</v>
      </c>
    </row>
    <row r="69" spans="2:2" x14ac:dyDescent="0.35">
      <c r="B69" t="s">
        <v>87</v>
      </c>
    </row>
    <row r="70" spans="2:2" x14ac:dyDescent="0.35">
      <c r="B70" t="s">
        <v>88</v>
      </c>
    </row>
    <row r="71" spans="2:2" x14ac:dyDescent="0.35">
      <c r="B71" t="s">
        <v>89</v>
      </c>
    </row>
    <row r="72" spans="2:2" x14ac:dyDescent="0.35">
      <c r="B72" t="s">
        <v>90</v>
      </c>
    </row>
    <row r="73" spans="2:2" x14ac:dyDescent="0.35">
      <c r="B73" t="s">
        <v>91</v>
      </c>
    </row>
    <row r="74" spans="2:2" x14ac:dyDescent="0.35">
      <c r="B74" t="s">
        <v>92</v>
      </c>
    </row>
    <row r="75" spans="2:2" x14ac:dyDescent="0.35">
      <c r="B75" t="s">
        <v>93</v>
      </c>
    </row>
    <row r="76" spans="2:2" x14ac:dyDescent="0.35">
      <c r="B76" t="s">
        <v>94</v>
      </c>
    </row>
    <row r="77" spans="2:2" x14ac:dyDescent="0.35">
      <c r="B77" t="s">
        <v>95</v>
      </c>
    </row>
    <row r="78" spans="2:2" x14ac:dyDescent="0.35">
      <c r="B78" t="s">
        <v>96</v>
      </c>
    </row>
    <row r="79" spans="2:2" x14ac:dyDescent="0.35">
      <c r="B79" t="s">
        <v>97</v>
      </c>
    </row>
    <row r="80" spans="2:2" x14ac:dyDescent="0.35">
      <c r="B80" t="s">
        <v>98</v>
      </c>
    </row>
    <row r="81" spans="2:2" x14ac:dyDescent="0.35">
      <c r="B81" t="s">
        <v>99</v>
      </c>
    </row>
    <row r="82" spans="2:2" x14ac:dyDescent="0.35">
      <c r="B82" t="s">
        <v>100</v>
      </c>
    </row>
    <row r="83" spans="2:2" x14ac:dyDescent="0.35">
      <c r="B83" t="s">
        <v>101</v>
      </c>
    </row>
    <row r="84" spans="2:2" x14ac:dyDescent="0.35">
      <c r="B84" t="s">
        <v>102</v>
      </c>
    </row>
    <row r="85" spans="2:2" x14ac:dyDescent="0.35">
      <c r="B85" t="s">
        <v>103</v>
      </c>
    </row>
    <row r="86" spans="2:2" x14ac:dyDescent="0.35">
      <c r="B86" t="s">
        <v>104</v>
      </c>
    </row>
    <row r="87" spans="2:2" x14ac:dyDescent="0.35">
      <c r="B87" t="s">
        <v>105</v>
      </c>
    </row>
    <row r="88" spans="2:2" x14ac:dyDescent="0.35">
      <c r="B88" t="s">
        <v>106</v>
      </c>
    </row>
    <row r="89" spans="2:2" x14ac:dyDescent="0.35">
      <c r="B89" t="s">
        <v>107</v>
      </c>
    </row>
    <row r="90" spans="2:2" x14ac:dyDescent="0.35">
      <c r="B90" t="s">
        <v>108</v>
      </c>
    </row>
    <row r="91" spans="2:2" x14ac:dyDescent="0.35">
      <c r="B91" t="s">
        <v>109</v>
      </c>
    </row>
    <row r="92" spans="2:2" x14ac:dyDescent="0.35">
      <c r="B92" t="s">
        <v>110</v>
      </c>
    </row>
    <row r="93" spans="2:2" x14ac:dyDescent="0.35">
      <c r="B93" t="s">
        <v>111</v>
      </c>
    </row>
    <row r="94" spans="2:2" x14ac:dyDescent="0.35">
      <c r="B94" t="s">
        <v>112</v>
      </c>
    </row>
    <row r="95" spans="2:2" x14ac:dyDescent="0.35">
      <c r="B95" t="s">
        <v>113</v>
      </c>
    </row>
    <row r="96" spans="2:2" x14ac:dyDescent="0.35">
      <c r="B96" t="s">
        <v>114</v>
      </c>
    </row>
    <row r="97" spans="2:2" x14ac:dyDescent="0.35">
      <c r="B97" t="s">
        <v>115</v>
      </c>
    </row>
    <row r="98" spans="2:2" x14ac:dyDescent="0.35">
      <c r="B98" t="s">
        <v>116</v>
      </c>
    </row>
    <row r="99" spans="2:2" x14ac:dyDescent="0.35">
      <c r="B99" t="s">
        <v>117</v>
      </c>
    </row>
    <row r="100" spans="2:2" x14ac:dyDescent="0.35">
      <c r="B100" t="s">
        <v>118</v>
      </c>
    </row>
    <row r="101" spans="2:2" x14ac:dyDescent="0.35">
      <c r="B101" t="s">
        <v>119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Weekly Rental Report</vt:lpstr>
      <vt:lpstr>Dropdowns</vt:lpstr>
      <vt:lpstr>'Weekly Rental Report'!Print_Area</vt:lpstr>
    </vt:vector>
  </TitlesOfParts>
  <Company>Cleveland-Cliffs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Lawson, Alexander J</dc:creator>
  <cp:lastModifiedBy>Lawson, Alexander J</cp:lastModifiedBy>
  <cp:lastPrinted>2026-01-20T17:24:19Z</cp:lastPrinted>
  <dcterms:created xsi:type="dcterms:W3CDTF">2025-04-30T12:46:35Z</dcterms:created>
  <dcterms:modified xsi:type="dcterms:W3CDTF">2026-03-26T17:46:57Z</dcterms:modified>
</cp:coreProperties>
</file>