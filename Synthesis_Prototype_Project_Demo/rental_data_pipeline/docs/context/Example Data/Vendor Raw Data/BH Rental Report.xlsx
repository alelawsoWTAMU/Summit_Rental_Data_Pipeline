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ber\Documents\"/>
    </mc:Choice>
  </mc:AlternateContent>
  <xr:revisionPtr revIDLastSave="0" documentId="13_ncr:1_{14E8FBAA-8535-4464-8C2A-75C2FF89BC3A}" xr6:coauthVersionLast="47" xr6:coauthVersionMax="47" xr10:uidLastSave="{00000000-0000-0000-0000-000000000000}"/>
  <bookViews>
    <workbookView xWindow="-120" yWindow="-120" windowWidth="20730" windowHeight="11040" xr2:uid="{A1C79135-59DC-4385-B9C5-44C336F7047D}"/>
  </bookViews>
  <sheets>
    <sheet name="Weekly Rental Report" sheetId="1" r:id="rId1"/>
    <sheet name="Dropdowns" sheetId="2" r:id="rId2"/>
  </sheets>
  <externalReferences>
    <externalReference r:id="rId3"/>
  </externalReferences>
  <definedNames>
    <definedName name="Categorys">[1]BULK!#REF!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1" l="1"/>
  <c r="J2" i="1"/>
</calcChain>
</file>

<file path=xl/sharedStrings.xml><?xml version="1.0" encoding="utf-8"?>
<sst xmlns="http://schemas.openxmlformats.org/spreadsheetml/2006/main" count="1457" uniqueCount="806">
  <si>
    <t>CLEVELAND-CLIFFS BURNS HARBOR RENTAL TRACKER REPORT</t>
  </si>
  <si>
    <t>RENTAL COMPANY:</t>
  </si>
  <si>
    <t>Date:</t>
  </si>
  <si>
    <t>TYPE OF EQUIPMENT</t>
  </si>
  <si>
    <t>DEPARTMENT</t>
  </si>
  <si>
    <t>EQUIPMENT #</t>
  </si>
  <si>
    <t>EQUIPMENT DESCRIPTION</t>
  </si>
  <si>
    <t>DEPARTMENT CONTACT</t>
  </si>
  <si>
    <t>DATE RENTAL STARTED</t>
  </si>
  <si>
    <t>PROJECTED END DATE</t>
  </si>
  <si>
    <t>PO NUMBER</t>
  </si>
  <si>
    <t>MONTHLY RATE $</t>
  </si>
  <si>
    <t>COMMENTS</t>
  </si>
  <si>
    <t>Rental Companies</t>
  </si>
  <si>
    <t>Week Number:</t>
  </si>
  <si>
    <t>Bulk Transport Corp</t>
  </si>
  <si>
    <t>Altorfer Industries Inc</t>
  </si>
  <si>
    <t>Year:</t>
  </si>
  <si>
    <t>Service Now Request #</t>
  </si>
  <si>
    <t>COST CENTER</t>
  </si>
  <si>
    <t>DOOR LOCATION</t>
  </si>
  <si>
    <t>RENTAL_CATEGORY</t>
  </si>
  <si>
    <t>Aerator Tower</t>
  </si>
  <si>
    <t>Air Compressor</t>
  </si>
  <si>
    <t>Air Compressor Tank</t>
  </si>
  <si>
    <t>Air Compressor Trailer</t>
  </si>
  <si>
    <t>Air Conditioner</t>
  </si>
  <si>
    <t>Air Dryer</t>
  </si>
  <si>
    <t>Air Hose</t>
  </si>
  <si>
    <t>Ammonia Rental Equipment</t>
  </si>
  <si>
    <t>Analyzer</t>
  </si>
  <si>
    <t>Backhoe</t>
  </si>
  <si>
    <t>Battery</t>
  </si>
  <si>
    <t>Belt Press</t>
  </si>
  <si>
    <t>Benshaw Softstart</t>
  </si>
  <si>
    <t>Bolt</t>
  </si>
  <si>
    <t>Box Filter</t>
  </si>
  <si>
    <t>Breaker</t>
  </si>
  <si>
    <t>Bucket Truck</t>
  </si>
  <si>
    <t>Centrifuge Skid</t>
  </si>
  <si>
    <t>Chiller</t>
  </si>
  <si>
    <t>Clarifier</t>
  </si>
  <si>
    <t>Coil Truck</t>
  </si>
  <si>
    <t>Cooler</t>
  </si>
  <si>
    <t>Crane</t>
  </si>
  <si>
    <t>Cylinder</t>
  </si>
  <si>
    <t>Cylinder Gas</t>
  </si>
  <si>
    <t>Distribution Panel</t>
  </si>
  <si>
    <t>Dozer</t>
  </si>
  <si>
    <t>Dump Truck</t>
  </si>
  <si>
    <t>Electrical Cable</t>
  </si>
  <si>
    <t>Excavator</t>
  </si>
  <si>
    <t>Fan</t>
  </si>
  <si>
    <t>Fee/Service/Tax</t>
  </si>
  <si>
    <t>Feed Hopper</t>
  </si>
  <si>
    <t>Fitting</t>
  </si>
  <si>
    <t>Flange</t>
  </si>
  <si>
    <t>Flatbed Truck</t>
  </si>
  <si>
    <t>Folding Tables/Chairs</t>
  </si>
  <si>
    <t>Forklift</t>
  </si>
  <si>
    <t>Gauge</t>
  </si>
  <si>
    <t>Generator</t>
  </si>
  <si>
    <t>Grader</t>
  </si>
  <si>
    <t>Hammer</t>
  </si>
  <si>
    <t>Hauler</t>
  </si>
  <si>
    <t>Heater</t>
  </si>
  <si>
    <t>Hose</t>
  </si>
  <si>
    <t>HVAC Duct</t>
  </si>
  <si>
    <t>Hydraulic Power Unit</t>
  </si>
  <si>
    <t>Lift</t>
  </si>
  <si>
    <t>Lift Add On</t>
  </si>
  <si>
    <t>Lift Kit - Loader</t>
  </si>
  <si>
    <t>Lifting Gear</t>
  </si>
  <si>
    <t>Light Tower</t>
  </si>
  <si>
    <t>Liquid Transport Truck</t>
  </si>
  <si>
    <t>Loader</t>
  </si>
  <si>
    <t>Material Handler</t>
  </si>
  <si>
    <t>Mini-Loader</t>
  </si>
  <si>
    <t>Mini-Picker</t>
  </si>
  <si>
    <t>Mobile Trailer</t>
  </si>
  <si>
    <t>Mobile Trailer Accessories</t>
  </si>
  <si>
    <t>Motor</t>
  </si>
  <si>
    <t>Picker</t>
  </si>
  <si>
    <t>Pickup Truck</t>
  </si>
  <si>
    <t>Polymer Centrifuge</t>
  </si>
  <si>
    <t>Power Equipment</t>
  </si>
  <si>
    <t>Power Pack</t>
  </si>
  <si>
    <t>Propane</t>
  </si>
  <si>
    <t>Pump</t>
  </si>
  <si>
    <t>Rail</t>
  </si>
  <si>
    <t>Refrigerator</t>
  </si>
  <si>
    <t>Roller</t>
  </si>
  <si>
    <t>RSB Rental Equipment</t>
  </si>
  <si>
    <t>Scrubber</t>
  </si>
  <si>
    <t>Semi Truck</t>
  </si>
  <si>
    <t>Service Truck</t>
  </si>
  <si>
    <t>Slab Hauler</t>
  </si>
  <si>
    <t>Snow Removal</t>
  </si>
  <si>
    <t>Stacker</t>
  </si>
  <si>
    <t>Stake Bed Truck</t>
  </si>
  <si>
    <t>Storage</t>
  </si>
  <si>
    <t>SUV</t>
  </si>
  <si>
    <t>Sweeper</t>
  </si>
  <si>
    <t>Tank</t>
  </si>
  <si>
    <t>Tank Mixer</t>
  </si>
  <si>
    <t>Telehandler</t>
  </si>
  <si>
    <t>Telehandler Carriage</t>
  </si>
  <si>
    <t>Tool</t>
  </si>
  <si>
    <t>Torque Gun</t>
  </si>
  <si>
    <t>Tractor</t>
  </si>
  <si>
    <t>Trailer</t>
  </si>
  <si>
    <t>Trough</t>
  </si>
  <si>
    <t>Unsorted</t>
  </si>
  <si>
    <t>UTV</t>
  </si>
  <si>
    <t>Vacuum</t>
  </si>
  <si>
    <t>Van</t>
  </si>
  <si>
    <t>Vehicle Accessories</t>
  </si>
  <si>
    <t>Washer</t>
  </si>
  <si>
    <t>Welding Equipment</t>
  </si>
  <si>
    <t>Welfare</t>
  </si>
  <si>
    <t>Wood Crane Matt</t>
  </si>
  <si>
    <t>zzBakerCorp - BH, MIN, SCIH</t>
  </si>
  <si>
    <t>Herc Rentals Inc</t>
  </si>
  <si>
    <t>Rain for Rent</t>
  </si>
  <si>
    <t>Centrisys Corporation</t>
  </si>
  <si>
    <t>Alta Equipment Company</t>
  </si>
  <si>
    <t>Mobile Office Inc</t>
  </si>
  <si>
    <t>Combined Logistics LLC</t>
  </si>
  <si>
    <t>Allard Rental Corporation</t>
  </si>
  <si>
    <t>Commercial Sweeping Corp</t>
  </si>
  <si>
    <t>Central Rent-A-Crane Inc</t>
  </si>
  <si>
    <t>Waste Management</t>
  </si>
  <si>
    <t>Calumet Lift Truck Service</t>
  </si>
  <si>
    <t>Calumet Chicago Company</t>
  </si>
  <si>
    <t>Hinckley Springs</t>
  </si>
  <si>
    <t>Nalco Company</t>
  </si>
  <si>
    <t>Satellite Shelters Inc</t>
  </si>
  <si>
    <t>Red-D-Arc Inc</t>
  </si>
  <si>
    <t>Great Lakes Lifting Solutions LLC</t>
  </si>
  <si>
    <t>Service Sanitation Inc</t>
  </si>
  <si>
    <t>Lifting Gear Hire Corp</t>
  </si>
  <si>
    <t>Sandling Industrial Services Inc</t>
  </si>
  <si>
    <t>Monroe Environmental Corp</t>
  </si>
  <si>
    <t>Aggreko LLC</t>
  </si>
  <si>
    <t>Industrial Bolting Inc</t>
  </si>
  <si>
    <t>Stevenson Crane Service Inc</t>
  </si>
  <si>
    <t>American State Equipment</t>
  </si>
  <si>
    <t>Kemira Water Solutions</t>
  </si>
  <si>
    <t>Williams Scotsman Inc</t>
  </si>
  <si>
    <t>Midwest Warehousing LLC</t>
  </si>
  <si>
    <t xml:space="preserve"> </t>
  </si>
  <si>
    <t>3531</t>
  </si>
  <si>
    <t>3534</t>
  </si>
  <si>
    <t>3535</t>
  </si>
  <si>
    <t>3539</t>
  </si>
  <si>
    <t>3562</t>
  </si>
  <si>
    <t>3563</t>
  </si>
  <si>
    <t>3564</t>
  </si>
  <si>
    <t>3567</t>
  </si>
  <si>
    <t>3572</t>
  </si>
  <si>
    <t>3581</t>
  </si>
  <si>
    <t>3590</t>
  </si>
  <si>
    <t>3613</t>
  </si>
  <si>
    <t>3614</t>
  </si>
  <si>
    <t>3618</t>
  </si>
  <si>
    <t>3619</t>
  </si>
  <si>
    <t>3657</t>
  </si>
  <si>
    <t>3675</t>
  </si>
  <si>
    <t>NOT ON PO</t>
  </si>
  <si>
    <t>B977871</t>
  </si>
  <si>
    <t>B965333</t>
  </si>
  <si>
    <t>B960603</t>
  </si>
  <si>
    <t>B931860</t>
  </si>
  <si>
    <t>B966982</t>
  </si>
  <si>
    <t>B977689</t>
  </si>
  <si>
    <t>B989191</t>
  </si>
  <si>
    <t>B976060</t>
  </si>
  <si>
    <t>B976441</t>
  </si>
  <si>
    <t>B976442</t>
  </si>
  <si>
    <t>B972925</t>
  </si>
  <si>
    <t>B970893</t>
  </si>
  <si>
    <t>DOOR 6022</t>
  </si>
  <si>
    <t>UNIT 9 ELECT</t>
  </si>
  <si>
    <t>Dr 0017</t>
  </si>
  <si>
    <t>Dr 0074</t>
  </si>
  <si>
    <t>DOOR 0074</t>
  </si>
  <si>
    <t>SDO BUILDING</t>
  </si>
  <si>
    <t>DOOR 5007</t>
  </si>
  <si>
    <t>DOOR 7000</t>
  </si>
  <si>
    <t>DOOR 3010</t>
  </si>
  <si>
    <t>DOOR 5017</t>
  </si>
  <si>
    <t>DR 0014</t>
  </si>
  <si>
    <t>DOOR 7004</t>
  </si>
  <si>
    <t>DOOR 0017</t>
  </si>
  <si>
    <t>IRON PRODUCING</t>
  </si>
  <si>
    <t>DOOR 3018</t>
  </si>
  <si>
    <t>Blast Furn Office</t>
  </si>
  <si>
    <t>DOOR 1001</t>
  </si>
  <si>
    <t>DOOR 0009</t>
  </si>
  <si>
    <t>DOOR 2007</t>
  </si>
  <si>
    <t>CENTRAL SPARES NORTH</t>
  </si>
  <si>
    <t>DOOR 0050</t>
  </si>
  <si>
    <t>DOOR 0081</t>
  </si>
  <si>
    <t>DR 0009</t>
  </si>
  <si>
    <t>DOOR 6006</t>
  </si>
  <si>
    <t>EAST OFFICE SE CORNER</t>
  </si>
  <si>
    <t>DOOR 0105</t>
  </si>
  <si>
    <t>DOOR 7002</t>
  </si>
  <si>
    <t>DOOR 0069</t>
  </si>
  <si>
    <t>DR 3010</t>
  </si>
  <si>
    <t>LMIC OFFICE</t>
  </si>
  <si>
    <t>DOOR 5002</t>
  </si>
  <si>
    <t>DR 0017</t>
  </si>
  <si>
    <t>DOOR 2061</t>
  </si>
  <si>
    <t>DOOR 6058</t>
  </si>
  <si>
    <t>DOOR 7003</t>
  </si>
  <si>
    <t>DOOR 0014</t>
  </si>
  <si>
    <t>CENTRAL OFFICE</t>
  </si>
  <si>
    <t>DOOR 0013</t>
  </si>
  <si>
    <t>DOOR 14</t>
  </si>
  <si>
    <t>SDO ROOM 36</t>
  </si>
  <si>
    <t>DOOR 50</t>
  </si>
  <si>
    <t>DOOR 3051</t>
  </si>
  <si>
    <t>DOOR 009</t>
  </si>
  <si>
    <t>door 1001</t>
  </si>
  <si>
    <t>DOOR 017</t>
  </si>
  <si>
    <t>Dr. 0017</t>
  </si>
  <si>
    <t>door 7004</t>
  </si>
  <si>
    <t>DOOR 2001</t>
  </si>
  <si>
    <t>DOOR 3002</t>
  </si>
  <si>
    <t>DOOR 5004</t>
  </si>
  <si>
    <t>DOOR EAST OFFICE BUILDING</t>
  </si>
  <si>
    <t>DOOR SDO</t>
  </si>
  <si>
    <t>DEERFIELD TRAINING CENTER</t>
  </si>
  <si>
    <t>OFFICE BUILDING</t>
  </si>
  <si>
    <t>PLATE MILL SAFETY TRAILER</t>
  </si>
  <si>
    <t>shops complex</t>
  </si>
  <si>
    <t>9746 S AVENUE N</t>
  </si>
  <si>
    <t>DOOR SP OFFICE</t>
  </si>
  <si>
    <t>EAST OFFICE SAFETY</t>
  </si>
  <si>
    <t>john.horvat@clevelandcliffs.com</t>
  </si>
  <si>
    <t>matthew.domsic@clevelandcliffs.com</t>
  </si>
  <si>
    <t>bradley.piasecki@clevelandcliffs.com</t>
  </si>
  <si>
    <t>keegan.bernard@clevelandcliffs.com</t>
  </si>
  <si>
    <t>brodie.cotter@clevelandcliffs.com</t>
  </si>
  <si>
    <t>jason.fetla@clevelandcliffs.com</t>
  </si>
  <si>
    <t>TODD.SIPOCH@CLEVELANDCLIFFS.COM</t>
  </si>
  <si>
    <t>arturo.arranaga@clevelandcliffs.com</t>
  </si>
  <si>
    <t>robert.kuemmeth@arcelormittal.com</t>
  </si>
  <si>
    <t>richard.statler@clevelandcliffs.com</t>
  </si>
  <si>
    <t>robby.watson@clevelandcliffs.com</t>
  </si>
  <si>
    <t>augustus.sandilla@clevelandcliffs.com</t>
  </si>
  <si>
    <t>jeffrey.ray@clevelandcliffs.com</t>
  </si>
  <si>
    <t>KENYATTA.MCGEE@CLEVELANDCLIFFS.COM</t>
  </si>
  <si>
    <t>harrison.moenster@clevelandcliffs.com</t>
  </si>
  <si>
    <t>NICK.NEFF@CLEVELANDCLIFFS.COM</t>
  </si>
  <si>
    <t>jim.boger@clevelandcliffs.com</t>
  </si>
  <si>
    <t>thomas.maicher@clevelandcliffs.com</t>
  </si>
  <si>
    <t>STANLEY.IGRAS@CLEVELANDCLIFFS.COM</t>
  </si>
  <si>
    <t>JOSEPH.BOYCE@CLEVELANDCLIFFS.COM</t>
  </si>
  <si>
    <t>GREGORY.PUCKETT@CLEVELANDCLIFFS.COM</t>
  </si>
  <si>
    <t>bradley.piasecki@arcelormittal.com</t>
  </si>
  <si>
    <t>victor.rubalcava@clevelandcliffs.com</t>
  </si>
  <si>
    <t>George.montroy@acelormittal.com</t>
  </si>
  <si>
    <t>johnny.johnston@clevelandcliffs.com</t>
  </si>
  <si>
    <t>john.kick@clevelandcliffs.com</t>
  </si>
  <si>
    <t>jeffery.ray@clevelandcliffs.com</t>
  </si>
  <si>
    <t>john.balas@clevelandcliffs.com</t>
  </si>
  <si>
    <t>kurt.mullins@clevelandcliffs.com</t>
  </si>
  <si>
    <t>james.oreilly@clevelandcliffs.com</t>
  </si>
  <si>
    <t>richard.hathaway@clevelandcliff.com</t>
  </si>
  <si>
    <t>lynn.novak@clevelandcliffs.com</t>
  </si>
  <si>
    <t>walter.dillin@clevelandcliffs.com</t>
  </si>
  <si>
    <t>kamron.nekoomaram@clevelandcliffs.com</t>
  </si>
  <si>
    <t>rodney.champion@clevelandcliffs.com</t>
  </si>
  <si>
    <t>michael.steinhubel@clevelandcliffs.com</t>
  </si>
  <si>
    <t>ronald.chapman@clevelandcliffs.com</t>
  </si>
  <si>
    <t>DAVID.VITTITOE@CLEVELANDCLIFFS.COM</t>
  </si>
  <si>
    <t>donald.angert@clevelandcliffs.com</t>
  </si>
  <si>
    <t>fredrick.yagerll@clevelandcliffs.com</t>
  </si>
  <si>
    <t>dan.covert@clevelandcliffs.com</t>
  </si>
  <si>
    <t>al.matual@clevelandcliffs.com</t>
  </si>
  <si>
    <t>GORDON.JOHNSON@CLEVELANDCLIFFS.COM</t>
  </si>
  <si>
    <t>richard.hale@clevelandcliffs.com</t>
  </si>
  <si>
    <t>brian.brzycki@clevelandcliffs.com</t>
  </si>
  <si>
    <t>daniel.poppjr@clevelandcliffs.com</t>
  </si>
  <si>
    <t>BRADY.RITZERT@CLEVELANDCLIFFS.COM</t>
  </si>
  <si>
    <t>brian.edwards@clevelandcliffs.com</t>
  </si>
  <si>
    <t>peter.trinidadjr@clevelandcliffs.com</t>
  </si>
  <si>
    <t>LYNN.NOVAK@CLEVELANDCLIFFS.COM</t>
  </si>
  <si>
    <t>WILL.DREWIECKI@CLEVELANDCLIFFS.COM</t>
  </si>
  <si>
    <t>JOHN.OLASHUK@CLEVELANDCLIFFS.COM</t>
  </si>
  <si>
    <t>RANDY.COFFMAN@CLEVELANDCLIFFS.COM</t>
  </si>
  <si>
    <t>TRACTOR SHOP</t>
  </si>
  <si>
    <t>Waste Water Trmnt</t>
  </si>
  <si>
    <t>MEU-AGW</t>
  </si>
  <si>
    <t>MEU-Heating &amp; Air</t>
  </si>
  <si>
    <t>MEU HVAC</t>
  </si>
  <si>
    <t>MEU AGW</t>
  </si>
  <si>
    <t>Hot Strip Mill</t>
  </si>
  <si>
    <t>MEU</t>
  </si>
  <si>
    <t>STEELMAKING</t>
  </si>
  <si>
    <t>Plate Mill</t>
  </si>
  <si>
    <t>PRIMARY-IRON PRODUCING</t>
  </si>
  <si>
    <t>Steel Producing</t>
  </si>
  <si>
    <t>Primary-Ironmaking</t>
  </si>
  <si>
    <t>Coke Plant</t>
  </si>
  <si>
    <t>MEU UTILITIES</t>
  </si>
  <si>
    <t>Iron Producing</t>
  </si>
  <si>
    <t>CENTRAL SPARES</t>
  </si>
  <si>
    <t>Steel Producing QA</t>
  </si>
  <si>
    <t>Primary-Coke</t>
  </si>
  <si>
    <t>MEU-SAFETY REPAIR</t>
  </si>
  <si>
    <t>ENVIRONMENTAL</t>
  </si>
  <si>
    <t>AGW</t>
  </si>
  <si>
    <t>MEU POWER</t>
  </si>
  <si>
    <t>ENGINEERING</t>
  </si>
  <si>
    <t>CENTRAL PARTS STORAGE</t>
  </si>
  <si>
    <t>SAFETY</t>
  </si>
  <si>
    <t>LMIC</t>
  </si>
  <si>
    <t>MEU/AGW</t>
  </si>
  <si>
    <t>MEU-UTILITIES</t>
  </si>
  <si>
    <t>PRIMARY-STEELMAKING</t>
  </si>
  <si>
    <t>LMI RAILROAD</t>
  </si>
  <si>
    <t>FIRE SYSTEMS</t>
  </si>
  <si>
    <t>MEU-WASTEWATER</t>
  </si>
  <si>
    <t>MEU WASTE WATER</t>
  </si>
  <si>
    <t>POWER &amp; UTILITIES</t>
  </si>
  <si>
    <t>HVAC</t>
  </si>
  <si>
    <t>MEU CRANE REPAIR</t>
  </si>
  <si>
    <t>PLATE MILL</t>
  </si>
  <si>
    <t>MEU Y &amp; T</t>
  </si>
  <si>
    <t>PRIMARY COKE</t>
  </si>
  <si>
    <t>MEU-CRANE REPAIR</t>
  </si>
  <si>
    <t>PRIMARY-COKE</t>
  </si>
  <si>
    <t>MEU UTILITY/ENGINEERING</t>
  </si>
  <si>
    <t>GENERAL OFFICE-FIRE</t>
  </si>
  <si>
    <t>PLANT GENERAL-SAFETY</t>
  </si>
  <si>
    <t>HUMAN RESOURCES</t>
  </si>
  <si>
    <t>Y &amp; T</t>
  </si>
  <si>
    <t>SOUTH CHICAGO RAILWAY</t>
  </si>
  <si>
    <t>MEU-PLANT GEN SAFETY</t>
  </si>
  <si>
    <t>OTHER/FIRE</t>
  </si>
  <si>
    <t>MEU-CENTRAL SPARES</t>
  </si>
  <si>
    <t>MEU-POWER UTILITIES</t>
  </si>
  <si>
    <t>MEU CCR</t>
  </si>
  <si>
    <t>MEU ENVIRONMENTAL</t>
  </si>
  <si>
    <t>1/2 TON CC 4X4</t>
  </si>
  <si>
    <t>1/2 TON REG CAB</t>
  </si>
  <si>
    <t>CARGO VAN</t>
  </si>
  <si>
    <t>1500 CC</t>
  </si>
  <si>
    <t>COLORADO CC</t>
  </si>
  <si>
    <t>TRANSIT CARGO VAN</t>
  </si>
  <si>
    <t>FORD</t>
  </si>
  <si>
    <t>GMC</t>
  </si>
  <si>
    <t>CHEVY</t>
  </si>
  <si>
    <t>RAM</t>
  </si>
  <si>
    <t xml:space="preserve">RAM </t>
  </si>
  <si>
    <t>DODGE</t>
  </si>
  <si>
    <t>1 TON CC  4X4</t>
  </si>
  <si>
    <t>3/4 TON CC 4X4</t>
  </si>
  <si>
    <t>15 PASSENGER VAN</t>
  </si>
  <si>
    <t>B990927</t>
  </si>
  <si>
    <t>B992151</t>
  </si>
  <si>
    <t>B990652</t>
  </si>
  <si>
    <t>B994597</t>
  </si>
  <si>
    <t>B995795</t>
  </si>
  <si>
    <t>3/4 TON REG CAB 4X4</t>
  </si>
  <si>
    <t>B994571</t>
  </si>
  <si>
    <t>IT</t>
  </si>
  <si>
    <t>SCOTT.HALL@CLEVELANDCLIFFS.COM</t>
  </si>
  <si>
    <t>3607</t>
  </si>
  <si>
    <t>3610</t>
  </si>
  <si>
    <t>12 PASSENGER VAN</t>
  </si>
  <si>
    <t>PATS-073A</t>
  </si>
  <si>
    <t>B995893</t>
  </si>
  <si>
    <t>B996990</t>
  </si>
  <si>
    <t>3663</t>
  </si>
  <si>
    <t>PLATE MILL #2</t>
  </si>
  <si>
    <t>STEWART.CARPENTER@CLEVELANDCLIFFS.COM</t>
  </si>
  <si>
    <t>3617</t>
  </si>
  <si>
    <t>DOOR 7054</t>
  </si>
  <si>
    <t>PLATE MIL #2</t>
  </si>
  <si>
    <t>D000899</t>
  </si>
  <si>
    <t>3587</t>
  </si>
  <si>
    <t>DOOR 7055</t>
  </si>
  <si>
    <t>HECTOR.MOYO@CLEVELANDCLIFFS.COM</t>
  </si>
  <si>
    <t>D002802</t>
  </si>
  <si>
    <t>D002801</t>
  </si>
  <si>
    <t>D002779</t>
  </si>
  <si>
    <t>GARY HEAT TREAT</t>
  </si>
  <si>
    <t>ANDREW.MULLEN@CLEVELANDCLIFFS.COM</t>
  </si>
  <si>
    <t>DOOR GARY HEAT TREAT 471</t>
  </si>
  <si>
    <t>D003245</t>
  </si>
  <si>
    <t>HOT MILL MAIN OFFICE</t>
  </si>
  <si>
    <t>22 STAKEBED</t>
  </si>
  <si>
    <t>12 STAKEBED</t>
  </si>
  <si>
    <t>9 STAKEBED</t>
  </si>
  <si>
    <t>12 CC STAKEBED</t>
  </si>
  <si>
    <t>13 STAKEBED</t>
  </si>
  <si>
    <t>12 STAKEBED CC</t>
  </si>
  <si>
    <t>14 STAKEBED CC</t>
  </si>
  <si>
    <t>anna.pince</t>
  </si>
  <si>
    <t>D004613</t>
  </si>
  <si>
    <t>13 STAKEBED REG CAB</t>
  </si>
  <si>
    <t>D004641</t>
  </si>
  <si>
    <t>D004209</t>
  </si>
  <si>
    <t>D005009</t>
  </si>
  <si>
    <t>STEELMAKING CENTRAL OFFICE</t>
  </si>
  <si>
    <t>D005473</t>
  </si>
  <si>
    <t>D005474</t>
  </si>
  <si>
    <t>MEU-DON ANGERTS TRUCK</t>
  </si>
  <si>
    <t>1 TON CC  4X2</t>
  </si>
  <si>
    <t>D007863</t>
  </si>
  <si>
    <t>D007864</t>
  </si>
  <si>
    <t>D007701</t>
  </si>
  <si>
    <t>D007698</t>
  </si>
  <si>
    <t>D007696</t>
  </si>
  <si>
    <t>D007697</t>
  </si>
  <si>
    <t>D007738</t>
  </si>
  <si>
    <t>D004642</t>
  </si>
  <si>
    <t>1/4 TON CC 4X4</t>
  </si>
  <si>
    <t>D007740</t>
  </si>
  <si>
    <t>D007700</t>
  </si>
  <si>
    <t>D008257</t>
  </si>
  <si>
    <t>D007739</t>
  </si>
  <si>
    <t>D007694</t>
  </si>
  <si>
    <t>D008138</t>
  </si>
  <si>
    <t>MEU Y&amp;T</t>
  </si>
  <si>
    <t>WAS PO B976120-MOVED TO PO D003349 SEPTEMBER BILLINGG</t>
  </si>
  <si>
    <t>D007865</t>
  </si>
  <si>
    <t>D008972</t>
  </si>
  <si>
    <t>1 TON CC 4X4</t>
  </si>
  <si>
    <t>D008861</t>
  </si>
  <si>
    <t>9 STAKEBED RED CAB 4X2</t>
  </si>
  <si>
    <t>D008860</t>
  </si>
  <si>
    <t>D009411</t>
  </si>
  <si>
    <t>DOOR 0071</t>
  </si>
  <si>
    <t xml:space="preserve">MEU-POWER  </t>
  </si>
  <si>
    <t>BOBBY.MARTIN</t>
  </si>
  <si>
    <t>3668</t>
  </si>
  <si>
    <t>MEU-POWER &amp; UTILITIES</t>
  </si>
  <si>
    <t>3704</t>
  </si>
  <si>
    <t>D007186</t>
  </si>
  <si>
    <t>MEU-POWER</t>
  </si>
  <si>
    <t>DOOR 5010W</t>
  </si>
  <si>
    <t>D009000</t>
  </si>
  <si>
    <t>D009619</t>
  </si>
  <si>
    <t>MOVED FROM PO D006770 TO D007698 09/25</t>
  </si>
  <si>
    <t>LMIC RAILROAD OFFICE</t>
  </si>
  <si>
    <t>D010937</t>
  </si>
  <si>
    <t>D011345</t>
  </si>
  <si>
    <t>WAS BILLED UNDER PO B982486-CHANGED TO B976442 OCTOBER BILLING</t>
  </si>
  <si>
    <t>DOOR 1002</t>
  </si>
  <si>
    <t>D011344</t>
  </si>
  <si>
    <t>megan.cole@clevelandcliffs.com</t>
  </si>
  <si>
    <t>D011713</t>
  </si>
  <si>
    <t>RITM0035970</t>
  </si>
  <si>
    <t>D011712</t>
  </si>
  <si>
    <t>RITM0035938</t>
  </si>
  <si>
    <t>MEU MATERTIAL HANDLING</t>
  </si>
  <si>
    <t>D011711</t>
  </si>
  <si>
    <t>RITM0035937</t>
  </si>
  <si>
    <t>RITM0035975</t>
  </si>
  <si>
    <t>RITM0032164</t>
  </si>
  <si>
    <t>RITM0034810</t>
  </si>
  <si>
    <t>RITM0027044</t>
  </si>
  <si>
    <t>RITM0034529</t>
  </si>
  <si>
    <t>RITM0033857</t>
  </si>
  <si>
    <t>RITM0034758</t>
  </si>
  <si>
    <t>RITM0029848</t>
  </si>
  <si>
    <t>RITM0033879</t>
  </si>
  <si>
    <t>RITM0033969</t>
  </si>
  <si>
    <t>RITM0023074</t>
  </si>
  <si>
    <t>RITM0024033</t>
  </si>
  <si>
    <t>RITM0030844</t>
  </si>
  <si>
    <t>RITM0030347</t>
  </si>
  <si>
    <t>RITM0032161</t>
  </si>
  <si>
    <t>RITM0032959</t>
  </si>
  <si>
    <t>RITM0032134</t>
  </si>
  <si>
    <t>RITM0033890</t>
  </si>
  <si>
    <t>RITM0033831</t>
  </si>
  <si>
    <t>RITM0035855</t>
  </si>
  <si>
    <t>RITM0034219</t>
  </si>
  <si>
    <t>RITM0033821</t>
  </si>
  <si>
    <t>RITM0035703</t>
  </si>
  <si>
    <t>RITM0033845</t>
  </si>
  <si>
    <t>RITM0033846</t>
  </si>
  <si>
    <t>RITM0033986</t>
  </si>
  <si>
    <t>RITM0030338</t>
  </si>
  <si>
    <t>RITM0032544</t>
  </si>
  <si>
    <t>RITM0034571</t>
  </si>
  <si>
    <t>RITM0034531</t>
  </si>
  <si>
    <t>RITM0033906</t>
  </si>
  <si>
    <t>D012005</t>
  </si>
  <si>
    <t>RITM0036096</t>
  </si>
  <si>
    <t>D012006</t>
  </si>
  <si>
    <t>RITM0036046</t>
  </si>
  <si>
    <t>D012116</t>
  </si>
  <si>
    <t>RITM0036111</t>
  </si>
  <si>
    <t>D012117</t>
  </si>
  <si>
    <t>RITM0036129</t>
  </si>
  <si>
    <t>JONATHAN.BENTLEY@CLEVELANDCLIFFS.COM</t>
  </si>
  <si>
    <t>D012118</t>
  </si>
  <si>
    <t>RITM0036101</t>
  </si>
  <si>
    <t>MINIVAN</t>
  </si>
  <si>
    <t>D011688</t>
  </si>
  <si>
    <t>RITM0035125</t>
  </si>
  <si>
    <t>FINISHING</t>
  </si>
  <si>
    <t>D012517</t>
  </si>
  <si>
    <t>RITM0036074</t>
  </si>
  <si>
    <t>EXCHANGED FOR 3097 09-03-25</t>
  </si>
  <si>
    <t>D012107</t>
  </si>
  <si>
    <t>RITM0033755</t>
  </si>
  <si>
    <t>3620</t>
  </si>
  <si>
    <t>PLATE MILL-PO SAYS STELL</t>
  </si>
  <si>
    <t>RITM0036589</t>
  </si>
  <si>
    <t>PO SAYS STEEL BUT TRUCK MOVED TO PLATE MILL</t>
  </si>
  <si>
    <t>D013985</t>
  </si>
  <si>
    <t>RITM0036863</t>
  </si>
  <si>
    <t>WAS PO D010984/JEFF RAY</t>
  </si>
  <si>
    <t>MICHAEL.MATULA@CLEVELANDCLIFFS.COM</t>
  </si>
  <si>
    <t>3667</t>
  </si>
  <si>
    <t>D014869</t>
  </si>
  <si>
    <t>RITM0037716</t>
  </si>
  <si>
    <t>MEU-HVAC</t>
  </si>
  <si>
    <t>3629</t>
  </si>
  <si>
    <t>12 STAKEBED REG CAB</t>
  </si>
  <si>
    <t>D015326</t>
  </si>
  <si>
    <t>RITM0038031</t>
  </si>
  <si>
    <t>D016342</t>
  </si>
  <si>
    <t>NO RITM ON PO</t>
  </si>
  <si>
    <t>D011714</t>
  </si>
  <si>
    <t>RITM0035968</t>
  </si>
  <si>
    <t>EXCHANGED FROM 3084 10/14/25</t>
  </si>
  <si>
    <t>DOUGLAS.SHAW@CLEVELANDCLIFFS.COM</t>
  </si>
  <si>
    <t>D016659</t>
  </si>
  <si>
    <t>RITM0035713</t>
  </si>
  <si>
    <t>COKE PLANT</t>
  </si>
  <si>
    <t>3584</t>
  </si>
  <si>
    <t>D017040</t>
  </si>
  <si>
    <t>RITM0035839</t>
  </si>
  <si>
    <t>MEU UNIT 9 ELECTRONICS</t>
  </si>
  <si>
    <t>DOOR 0033</t>
  </si>
  <si>
    <t>D017026</t>
  </si>
  <si>
    <t>RITM0038965</t>
  </si>
  <si>
    <t>D019237</t>
  </si>
  <si>
    <t>RITM0040030</t>
  </si>
  <si>
    <t>D019093</t>
  </si>
  <si>
    <t>RITM0039964</t>
  </si>
  <si>
    <t>D019294</t>
  </si>
  <si>
    <t>RITM0040043</t>
  </si>
  <si>
    <t>D019295</t>
  </si>
  <si>
    <t>RITM0039998</t>
  </si>
  <si>
    <t>D019375</t>
  </si>
  <si>
    <t>RITM0040069</t>
  </si>
  <si>
    <t>D019621</t>
  </si>
  <si>
    <t>RITM0040294</t>
  </si>
  <si>
    <t>D019637</t>
  </si>
  <si>
    <t>RITM0040035</t>
  </si>
  <si>
    <t>D020183</t>
  </si>
  <si>
    <t>RITM0040342</t>
  </si>
  <si>
    <t>D020184</t>
  </si>
  <si>
    <t>RITM0023355</t>
  </si>
  <si>
    <t>RITM0040522</t>
  </si>
  <si>
    <t>D020727</t>
  </si>
  <si>
    <t>D020863</t>
  </si>
  <si>
    <t>RITM0040037</t>
  </si>
  <si>
    <t>D013454</t>
  </si>
  <si>
    <t>D016402</t>
  </si>
  <si>
    <t>RITM0038389</t>
  </si>
  <si>
    <t>D024754</t>
  </si>
  <si>
    <t>RITM0043210</t>
  </si>
  <si>
    <t>D024580</t>
  </si>
  <si>
    <t>RITM0043190</t>
  </si>
  <si>
    <t>D024582</t>
  </si>
  <si>
    <t>RITM0043191</t>
  </si>
  <si>
    <t>D024852</t>
  </si>
  <si>
    <t>RITM0043149</t>
  </si>
  <si>
    <t>D024861</t>
  </si>
  <si>
    <t>RITM0043265</t>
  </si>
  <si>
    <t>D024862</t>
  </si>
  <si>
    <t>RITM NOT ON PO</t>
  </si>
  <si>
    <t>D024859</t>
  </si>
  <si>
    <t>RITM0043230</t>
  </si>
  <si>
    <t>D024858</t>
  </si>
  <si>
    <t>SR00386182</t>
  </si>
  <si>
    <t>D024855</t>
  </si>
  <si>
    <t>RITM0043122</t>
  </si>
  <si>
    <t>D024756</t>
  </si>
  <si>
    <t>RITM0043204</t>
  </si>
  <si>
    <t>D024854</t>
  </si>
  <si>
    <t>RITM0043235</t>
  </si>
  <si>
    <t>D024755</t>
  </si>
  <si>
    <t>D024857</t>
  </si>
  <si>
    <t>RITM0043206</t>
  </si>
  <si>
    <t>D024581</t>
  </si>
  <si>
    <t>RITM0043194</t>
  </si>
  <si>
    <t>D025439</t>
  </si>
  <si>
    <t>RITM0043417</t>
  </si>
  <si>
    <t>D024864</t>
  </si>
  <si>
    <t>RITM0043145</t>
  </si>
  <si>
    <t xml:space="preserve">DOOR </t>
  </si>
  <si>
    <t>D025703</t>
  </si>
  <si>
    <t>RITM0043689</t>
  </si>
  <si>
    <t>D026340</t>
  </si>
  <si>
    <t>RITM0043213</t>
  </si>
  <si>
    <t>D026341</t>
  </si>
  <si>
    <t>RITM0044343</t>
  </si>
  <si>
    <t>D026343</t>
  </si>
  <si>
    <t>RITM0044093</t>
  </si>
  <si>
    <t>HOT MILL</t>
  </si>
  <si>
    <t>MICHAEL.BRIDGES@CLEVELANDCLIFFS.COM</t>
  </si>
  <si>
    <t>D026653</t>
  </si>
  <si>
    <t>RITM0044530</t>
  </si>
  <si>
    <t>D024860</t>
  </si>
  <si>
    <t>RITM0043215</t>
  </si>
  <si>
    <t>D027333</t>
  </si>
  <si>
    <t>RITM0045218</t>
  </si>
  <si>
    <t>RITM045220</t>
  </si>
  <si>
    <t>D027343</t>
  </si>
  <si>
    <t>RITM0045219</t>
  </si>
  <si>
    <t>D027646</t>
  </si>
  <si>
    <t>D027340</t>
  </si>
  <si>
    <t>RITM0045216</t>
  </si>
  <si>
    <t>D027336</t>
  </si>
  <si>
    <t>RITM0045215</t>
  </si>
  <si>
    <t>D027643</t>
  </si>
  <si>
    <t>RITM0045221</t>
  </si>
  <si>
    <t>1//2 TON REG CAB</t>
  </si>
  <si>
    <t>D028450</t>
  </si>
  <si>
    <t>RITM0043211</t>
  </si>
  <si>
    <t>D028451</t>
  </si>
  <si>
    <t>RITM0045322</t>
  </si>
  <si>
    <t>HENDRIK.KLUNDER</t>
  </si>
  <si>
    <t>13 STAKEBED CC</t>
  </si>
  <si>
    <t>D026342</t>
  </si>
  <si>
    <t>RITM0043352</t>
  </si>
  <si>
    <t>david.funk@clevelandcliffs.com/MIKE STEINHUBAL</t>
  </si>
  <si>
    <t>DOOR 0080</t>
  </si>
  <si>
    <t>D027331</t>
  </si>
  <si>
    <t>RITM0045060</t>
  </si>
  <si>
    <t>D027334</t>
  </si>
  <si>
    <t>RITM004517</t>
  </si>
  <si>
    <t>REQ #</t>
  </si>
  <si>
    <t>D029393</t>
  </si>
  <si>
    <t>RITM0046166</t>
  </si>
  <si>
    <t>RQB0946371</t>
  </si>
  <si>
    <t>D029562</t>
  </si>
  <si>
    <t>RITM0045610</t>
  </si>
  <si>
    <t>RQB1022282</t>
  </si>
  <si>
    <t>D029565</t>
  </si>
  <si>
    <t>RITM0045296</t>
  </si>
  <si>
    <t>RQB1071337</t>
  </si>
  <si>
    <t>D029561</t>
  </si>
  <si>
    <t xml:space="preserve">RITM NOT ON PO </t>
  </si>
  <si>
    <t>RQB0973655</t>
  </si>
  <si>
    <t>D030190</t>
  </si>
  <si>
    <t>RITM0046213</t>
  </si>
  <si>
    <t>RQB1020483</t>
  </si>
  <si>
    <t>D030188</t>
  </si>
  <si>
    <t>RITM0046211</t>
  </si>
  <si>
    <t>RQB0973279</t>
  </si>
  <si>
    <t>D030186</t>
  </si>
  <si>
    <t>RITM0045271</t>
  </si>
  <si>
    <t>RQB1022276</t>
  </si>
  <si>
    <t>D030515</t>
  </si>
  <si>
    <t>RITM0044415</t>
  </si>
  <si>
    <t>D030516</t>
  </si>
  <si>
    <t>D030722</t>
  </si>
  <si>
    <t>RQB1118409</t>
  </si>
  <si>
    <t>D030689</t>
  </si>
  <si>
    <t>RITM0045270</t>
  </si>
  <si>
    <t>RQB0895794</t>
  </si>
  <si>
    <t>D031166</t>
  </si>
  <si>
    <t>RITM0047787</t>
  </si>
  <si>
    <t>RQB0977883</t>
  </si>
  <si>
    <t>D031167</t>
  </si>
  <si>
    <t>RITM0047772</t>
  </si>
  <si>
    <t>RQB0992981</t>
  </si>
  <si>
    <t>D031168</t>
  </si>
  <si>
    <t>RITM0047774</t>
  </si>
  <si>
    <t>RQB0999435</t>
  </si>
  <si>
    <t>D029395</t>
  </si>
  <si>
    <t>RITM0046039</t>
  </si>
  <si>
    <t>RQB1096559</t>
  </si>
  <si>
    <t>D031719</t>
  </si>
  <si>
    <t>RITM0048199</t>
  </si>
  <si>
    <t>RQB1077312</t>
  </si>
  <si>
    <t>D031893</t>
  </si>
  <si>
    <t>RITM0048263</t>
  </si>
  <si>
    <t>NEEDS A NEW RATE OF 1430 ON NEXT PO</t>
  </si>
  <si>
    <t>D031894</t>
  </si>
  <si>
    <t>RITM0048004</t>
  </si>
  <si>
    <t>RQB0902151</t>
  </si>
  <si>
    <t>RQB0901554</t>
  </si>
  <si>
    <t>JOHNATHAN.BENTLY</t>
  </si>
  <si>
    <t>D031895</t>
  </si>
  <si>
    <t>RITM0048238</t>
  </si>
  <si>
    <t>RQB0923972</t>
  </si>
  <si>
    <t>D031896</t>
  </si>
  <si>
    <t>RITM0048214</t>
  </si>
  <si>
    <t>RQB0975625</t>
  </si>
  <si>
    <t>D031897</t>
  </si>
  <si>
    <t>RITM0048236</t>
  </si>
  <si>
    <t>RQB1077388</t>
  </si>
  <si>
    <t>D032300</t>
  </si>
  <si>
    <t>RITM0048448</t>
  </si>
  <si>
    <t>RQB1122584</t>
  </si>
  <si>
    <t>D032297</t>
  </si>
  <si>
    <t>RITM0048725</t>
  </si>
  <si>
    <t>RQB1046868</t>
  </si>
  <si>
    <t>SAFETY-PLANT GENERAL</t>
  </si>
  <si>
    <t>D032298</t>
  </si>
  <si>
    <t>RITM0047895</t>
  </si>
  <si>
    <t>RQB1115713</t>
  </si>
  <si>
    <t>D032299</t>
  </si>
  <si>
    <t>RITM0048616</t>
  </si>
  <si>
    <t>RQB1121435</t>
  </si>
  <si>
    <t>D031724</t>
  </si>
  <si>
    <t>RITM0048018</t>
  </si>
  <si>
    <t>RQB1141546</t>
  </si>
  <si>
    <t>D032601</t>
  </si>
  <si>
    <t>RITM0048617</t>
  </si>
  <si>
    <t>RQB0950367</t>
  </si>
  <si>
    <t>D032599</t>
  </si>
  <si>
    <t>RITM0048655</t>
  </si>
  <si>
    <t>RQB0912012</t>
  </si>
  <si>
    <t>LEO ORTIZ</t>
  </si>
  <si>
    <t>DOOR 0030</t>
  </si>
  <si>
    <t>D030514</t>
  </si>
  <si>
    <t>RITM0046881</t>
  </si>
  <si>
    <t>RQB1140050</t>
  </si>
  <si>
    <t>DAN COVERT</t>
  </si>
  <si>
    <t>9 FLATBED EX CAB</t>
  </si>
  <si>
    <t>3680</t>
  </si>
  <si>
    <t>D032303</t>
  </si>
  <si>
    <t>SR00390984</t>
  </si>
  <si>
    <t>RQB1141964</t>
  </si>
  <si>
    <t>D027342</t>
  </si>
  <si>
    <t>D033614</t>
  </si>
  <si>
    <t>RITM0049761</t>
  </si>
  <si>
    <t>RQB0876015</t>
  </si>
  <si>
    <t>D033615</t>
  </si>
  <si>
    <t>RITM0048703</t>
  </si>
  <si>
    <t>RQB1029865</t>
  </si>
  <si>
    <t>D033616</t>
  </si>
  <si>
    <t>RITM0049762</t>
  </si>
  <si>
    <t>RQB1068808</t>
  </si>
  <si>
    <t>D033656</t>
  </si>
  <si>
    <t>SR00390973</t>
  </si>
  <si>
    <t>RQB0931419</t>
  </si>
  <si>
    <t>D033893</t>
  </si>
  <si>
    <t>RITM0049763</t>
  </si>
  <si>
    <t>RQB0922816</t>
  </si>
  <si>
    <t>dominic.bonta</t>
  </si>
  <si>
    <t>DOOR 0082</t>
  </si>
  <si>
    <t>D032296</t>
  </si>
  <si>
    <t>RITM0048262</t>
  </si>
  <si>
    <t>RQB1029194</t>
  </si>
  <si>
    <t>D036316</t>
  </si>
  <si>
    <t>RITM0051793</t>
  </si>
  <si>
    <t>RQB0965601</t>
  </si>
  <si>
    <t>D036314</t>
  </si>
  <si>
    <t>RITM0051792</t>
  </si>
  <si>
    <t>RQB0834668</t>
  </si>
  <si>
    <t>D036315</t>
  </si>
  <si>
    <t>RITM0051921</t>
  </si>
  <si>
    <t>RQB0951142</t>
  </si>
  <si>
    <t>FINISHING-TANDEM MILL</t>
  </si>
  <si>
    <t>D033455</t>
  </si>
  <si>
    <t>RITM0049545</t>
  </si>
  <si>
    <t>RQB1142827</t>
  </si>
  <si>
    <t>D037089</t>
  </si>
  <si>
    <t>RITM0052189</t>
  </si>
  <si>
    <t>RQB1121265</t>
  </si>
  <si>
    <t>D037088</t>
  </si>
  <si>
    <t>SR 00389582</t>
  </si>
  <si>
    <t>RQB1093512</t>
  </si>
  <si>
    <t>EAST OFFICE BUILDING</t>
  </si>
  <si>
    <t>D033619</t>
  </si>
  <si>
    <t>RITM0049765</t>
  </si>
  <si>
    <t>RQB1143045</t>
  </si>
  <si>
    <t>D038374</t>
  </si>
  <si>
    <t>RITM0053479</t>
  </si>
  <si>
    <t>RQB0894441</t>
  </si>
  <si>
    <t>D038375</t>
  </si>
  <si>
    <t>RITM0053478</t>
  </si>
  <si>
    <t>RQB0896041</t>
  </si>
  <si>
    <t>D038585</t>
  </si>
  <si>
    <t>RITM0054289</t>
  </si>
  <si>
    <t>RQB1117624</t>
  </si>
  <si>
    <t>D039425</t>
  </si>
  <si>
    <t>RITM0054929</t>
  </si>
  <si>
    <t>RQB0953944</t>
  </si>
  <si>
    <t>D039419</t>
  </si>
  <si>
    <t>RITM0054993</t>
  </si>
  <si>
    <t>RQB0815002</t>
  </si>
  <si>
    <t>D039924</t>
  </si>
  <si>
    <t>RITM0054844</t>
  </si>
  <si>
    <t>RQB1059560</t>
  </si>
  <si>
    <t>RITM0029849</t>
  </si>
  <si>
    <t>RQB1017540</t>
  </si>
  <si>
    <t>RQB0899093</t>
  </si>
  <si>
    <t>D040524</t>
  </si>
  <si>
    <t>RQB0953317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</si>
</sst>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&quot;$&quot;#,##0.00"/>
  </numFmts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0"/>
      <color theme="3"/>
      <name val="Aptos Narrow"/>
      <family val="2"/>
      <scheme val="minor"/>
    </font>
    <font>
      <b/>
      <sz val="14"/>
      <name val="Aptos Narrow"/>
      <family val="2"/>
      <scheme val="minor"/>
    </font>
    <font>
      <sz val="11"/>
      <name val="Aptos Narrow"/>
      <family val="2"/>
    </font>
    <font>
      <sz val="14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4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7" fillId="0" borderId="0"/>
    <xf numFmtId="0" fontId="9" fillId="0" borderId="0" applyNumberFormat="0" applyFill="0" applyBorder="0" applyAlignment="0" applyProtection="0"/>
  </cellStyleXfs>
  <cellXfs count="52">
    <xf numFmtId="0" fontId="0" fillId="0" borderId="0" xfId="0"/>
    <xf numFmtId="0" fontId="1" fillId="0" borderId="0" xfId="0" applyFont="1"/>
    <xf numFmtId="0" fontId="3" fillId="2" borderId="4" xfId="0" applyFont="1" applyFill="1" applyBorder="1" applyAlignment="1">
      <alignment horizontal="center" vertical="top" wrapText="1"/>
    </xf>
    <xf numFmtId="0" fontId="3" fillId="2" borderId="5" xfId="0" applyFont="1" applyFill="1" applyBorder="1" applyAlignment="1">
      <alignment horizontal="center" vertical="top" wrapText="1"/>
    </xf>
    <xf numFmtId="4" fontId="5" fillId="2" borderId="6" xfId="0" applyNumberFormat="1" applyFont="1" applyFill="1" applyBorder="1" applyAlignment="1">
      <alignment horizontal="center" vertical="top" wrapText="1"/>
    </xf>
    <xf numFmtId="3" fontId="5" fillId="2" borderId="7" xfId="0" applyNumberFormat="1" applyFont="1" applyFill="1" applyBorder="1" applyAlignment="1">
      <alignment horizontal="center" vertical="top" wrapText="1"/>
    </xf>
    <xf numFmtId="0" fontId="5" fillId="2" borderId="7" xfId="0" applyFont="1" applyFill="1" applyBorder="1" applyAlignment="1">
      <alignment horizontal="center" vertical="top" wrapText="1"/>
    </xf>
    <xf numFmtId="49" fontId="5" fillId="2" borderId="7" xfId="0" applyNumberFormat="1" applyFont="1" applyFill="1" applyBorder="1" applyAlignment="1">
      <alignment horizontal="center" vertical="top" wrapText="1"/>
    </xf>
    <xf numFmtId="4" fontId="5" fillId="2" borderId="7" xfId="0" applyNumberFormat="1" applyFont="1" applyFill="1" applyBorder="1" applyAlignment="1">
      <alignment horizontal="center" vertical="top" wrapText="1"/>
    </xf>
    <xf numFmtId="1" fontId="3" fillId="4" borderId="3" xfId="0" applyNumberFormat="1" applyFont="1" applyFill="1" applyBorder="1" applyAlignment="1">
      <alignment horizontal="center" vertical="top" wrapText="1"/>
    </xf>
    <xf numFmtId="0" fontId="3" fillId="2" borderId="3" xfId="0" applyFont="1" applyFill="1" applyBorder="1" applyAlignment="1">
      <alignment horizontal="center" vertical="top" wrapText="1"/>
    </xf>
    <xf numFmtId="0" fontId="1" fillId="0" borderId="5" xfId="0" applyFont="1" applyBorder="1"/>
    <xf numFmtId="0" fontId="7" fillId="0" borderId="0" xfId="1"/>
    <xf numFmtId="0" fontId="8" fillId="0" borderId="3" xfId="0" applyFont="1" applyBorder="1"/>
    <xf numFmtId="0" fontId="8" fillId="0" borderId="3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49" fontId="8" fillId="0" borderId="3" xfId="0" applyNumberFormat="1" applyFont="1" applyBorder="1" applyAlignment="1">
      <alignment horizontal="center"/>
    </xf>
    <xf numFmtId="8" fontId="8" fillId="0" borderId="3" xfId="0" applyNumberFormat="1" applyFont="1" applyBorder="1" applyAlignment="1">
      <alignment vertical="center"/>
    </xf>
    <xf numFmtId="8" fontId="8" fillId="0" borderId="7" xfId="0" applyNumberFormat="1" applyFont="1" applyBorder="1" applyAlignment="1">
      <alignment vertical="center"/>
    </xf>
    <xf numFmtId="164" fontId="8" fillId="0" borderId="3" xfId="0" applyNumberFormat="1" applyFont="1" applyBorder="1"/>
    <xf numFmtId="0" fontId="8" fillId="0" borderId="3" xfId="0" applyFont="1" applyBorder="1" applyAlignment="1">
      <alignment horizontal="center"/>
    </xf>
    <xf numFmtId="0" fontId="8" fillId="0" borderId="7" xfId="0" applyFont="1" applyBorder="1"/>
    <xf numFmtId="14" fontId="8" fillId="0" borderId="3" xfId="0" applyNumberFormat="1" applyFont="1" applyBorder="1" applyAlignment="1">
      <alignment horizontal="center" vertical="center"/>
    </xf>
    <xf numFmtId="14" fontId="8" fillId="0" borderId="7" xfId="0" applyNumberFormat="1" applyFont="1" applyBorder="1" applyAlignment="1">
      <alignment horizontal="center" vertical="center"/>
    </xf>
    <xf numFmtId="14" fontId="8" fillId="0" borderId="3" xfId="0" applyNumberFormat="1" applyFont="1" applyBorder="1" applyAlignment="1">
      <alignment horizontal="center"/>
    </xf>
    <xf numFmtId="0" fontId="10" fillId="0" borderId="3" xfId="2" applyFont="1" applyBorder="1" applyAlignment="1">
      <alignment horizontal="center" vertical="center"/>
    </xf>
    <xf numFmtId="0" fontId="9" fillId="0" borderId="3" xfId="2" applyBorder="1" applyAlignment="1">
      <alignment horizontal="center" vertical="center"/>
    </xf>
    <xf numFmtId="0" fontId="9" fillId="0" borderId="7" xfId="2" applyBorder="1" applyAlignment="1">
      <alignment horizontal="center" vertical="center"/>
    </xf>
    <xf numFmtId="0" fontId="10" fillId="0" borderId="7" xfId="2" applyFont="1" applyBorder="1" applyAlignment="1">
      <alignment horizontal="center" vertical="center"/>
    </xf>
    <xf numFmtId="0" fontId="9" fillId="0" borderId="3" xfId="2" applyBorder="1"/>
    <xf numFmtId="0" fontId="8" fillId="0" borderId="4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8" xfId="0" applyFont="1" applyBorder="1" applyAlignment="1">
      <alignment horizontal="center"/>
    </xf>
    <xf numFmtId="0" fontId="8" fillId="0" borderId="8" xfId="0" applyFont="1" applyBorder="1"/>
    <xf numFmtId="0" fontId="9" fillId="0" borderId="8" xfId="2" applyBorder="1"/>
    <xf numFmtId="0" fontId="8" fillId="0" borderId="8" xfId="0" applyFont="1" applyBorder="1" applyAlignment="1">
      <alignment horizontal="center" vertical="center"/>
    </xf>
    <xf numFmtId="14" fontId="8" fillId="0" borderId="9" xfId="0" applyNumberFormat="1" applyFont="1" applyBorder="1" applyAlignment="1">
      <alignment horizontal="center"/>
    </xf>
    <xf numFmtId="0" fontId="8" fillId="0" borderId="10" xfId="0" applyFont="1" applyBorder="1"/>
    <xf numFmtId="164" fontId="8" fillId="0" borderId="8" xfId="0" applyNumberFormat="1" applyFont="1" applyBorder="1"/>
    <xf numFmtId="14" fontId="8" fillId="0" borderId="9" xfId="0" applyNumberFormat="1" applyFont="1" applyBorder="1" applyAlignment="1">
      <alignment horizontal="center" vertical="center"/>
    </xf>
    <xf numFmtId="8" fontId="8" fillId="0" borderId="8" xfId="0" applyNumberFormat="1" applyFont="1" applyBorder="1" applyAlignment="1">
      <alignment vertical="center"/>
    </xf>
    <xf numFmtId="0" fontId="9" fillId="0" borderId="8" xfId="2" applyBorder="1" applyAlignment="1">
      <alignment horizontal="center" vertical="center"/>
    </xf>
    <xf numFmtId="14" fontId="8" fillId="0" borderId="8" xfId="0" applyNumberFormat="1" applyFont="1" applyBorder="1" applyAlignment="1">
      <alignment horizontal="center"/>
    </xf>
    <xf numFmtId="14" fontId="3" fillId="3" borderId="1" xfId="0" applyNumberFormat="1" applyFont="1" applyFill="1" applyBorder="1" applyAlignment="1">
      <alignment horizontal="center" vertical="top" wrapText="1"/>
    </xf>
    <xf numFmtId="14" fontId="3" fillId="3" borderId="2" xfId="0" applyNumberFormat="1" applyFont="1" applyFill="1" applyBorder="1" applyAlignment="1">
      <alignment horizontal="center" vertical="top" wrapText="1"/>
    </xf>
    <xf numFmtId="0" fontId="3" fillId="3" borderId="2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top" wrapText="1"/>
    </xf>
    <xf numFmtId="0" fontId="4" fillId="2" borderId="2" xfId="0" applyFont="1" applyFill="1" applyBorder="1" applyAlignment="1">
      <alignment horizontal="center" vertical="top" wrapText="1"/>
    </xf>
    <xf numFmtId="1" fontId="6" fillId="4" borderId="1" xfId="0" applyNumberFormat="1" applyFont="1" applyFill="1" applyBorder="1" applyAlignment="1">
      <alignment horizontal="center" vertical="top" wrapText="1"/>
    </xf>
    <xf numFmtId="1" fontId="6" fillId="4" borderId="4" xfId="0" applyNumberFormat="1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</cellXfs>
  <cellStyles count="3">
    <cellStyle name="Hyperlink" xfId="2" builtinId="8"/>
    <cellStyle name="Normal" xfId="0" builtinId="0"/>
    <cellStyle name="Normal 2" xfId="1" xr:uid="{A37D5819-BC9D-42DF-8827-430E359EB68C}"/>
  </cellStyles>
  <dxfs count="16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64" formatCode="&quot;$&quot;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9" formatCode="m/d/yyyy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9" formatCode="m/d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ptos Narrow"/>
        <family val="2"/>
        <scheme val="minor"/>
      </font>
      <numFmt numFmtId="4" formatCode="#,##0.00"/>
      <fill>
        <patternFill patternType="solid">
          <fgColor indexed="64"/>
          <bgColor theme="0" tint="-0.14999847407452621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a13152/AppData/Local/Microsoft/Windows/INetCache/Content.Outlook/2EE7AHPN/Weekly%20rent.xlsx" TargetMode="External"/><Relationship Id="rId2" Type="http://schemas.openxmlformats.org/officeDocument/2006/relationships/externalLinkPath" Target="file:///C:\Users\a13152\AppData\Local\Microsoft\Windows\INetCache\Content.Outlook\2EE7AHPN\Weekly%20rent.xlsx" TargetMode="External"/><Relationship Id="rId1" Type="http://schemas.openxmlformats.org/officeDocument/2006/relationships/externalLinkPath" Target="/Users/a13152/AppData/Local/Microsoft/Windows/INetCache/Content.Outlook/2EE7AHPN/Weekly%20ren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BULK"/>
      <sheetName val="CENTRAL CRANE"/>
      <sheetName val="MARCUS ALLARD"/>
      <sheetName val="Altorfer"/>
      <sheetName val="HERC"/>
      <sheetName val="ALTA"/>
      <sheetName val="Calumet Lift"/>
      <sheetName val="Sheet1"/>
      <sheetName val="AGGREKO"/>
      <sheetName val="RED D ARC"/>
      <sheetName val="Tioga"/>
      <sheetName val="Stevenson Crane"/>
      <sheetName val="Rain for Rent"/>
      <sheetName val="BURNS HARBOR PLAN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64886F2-6D9D-4174-9E8F-6774AAB9A2C8}" name="Table2" displayName="Table2" ref="A3:N181" totalsRowShown="0" headerRowDxfId="15" headerRowBorderDxfId="14" tableBorderDxfId="13">
  <autoFilter ref="A3:N181" xr:uid="{B64886F2-6D9D-4174-9E8F-6774AAB9A2C8}"/>
  <tableColumns count="14">
    <tableColumn id="1" xr3:uid="{5B2F67A6-5879-4A26-89F7-1013FA0E971C}" name="TYPE OF EQUIPMENT" dataDxfId="12"/>
    <tableColumn id="2" xr3:uid="{EDEDF60D-D8B4-45B8-8196-40A240532E86}" name="DEPARTMENT" dataDxfId="11"/>
    <tableColumn id="20" xr3:uid="{00034AAA-504C-40FB-A43A-3E53DFD291D4}" name="DEPARTMENT CONTACT" dataDxfId="10" dataCellStyle="Hyperlink"/>
    <tableColumn id="3" xr3:uid="{1B854428-349A-4D8A-A046-72100557E2A3}" name="EQUIPMENT #" dataDxfId="9"/>
    <tableColumn id="4" xr3:uid="{AB9C1D9A-CEE8-48AA-836D-A37C8E669BDC}" name="EQUIPMENT DESCRIPTION" dataDxfId="8"/>
    <tableColumn id="5" xr3:uid="{14EAE5FF-1437-4190-A0EC-44724449398C}" name="DOOR LOCATION" dataDxfId="7"/>
    <tableColumn id="7" xr3:uid="{0A5D47BA-40F8-471B-8482-9852F1ECB450}" name="DATE RENTAL STARTED" dataDxfId="6"/>
    <tableColumn id="8" xr3:uid="{02613033-D90F-43AA-983F-47EAD67E1F5E}" name="PROJECTED END DATE" dataDxfId="5"/>
    <tableColumn id="9" xr3:uid="{44D69195-2FA2-4068-BBA5-2A5A36DBEA44}" name="COST CENTER" dataDxfId="4"/>
    <tableColumn id="11" xr3:uid="{C8EF9DFC-75ED-4C0E-A585-E12B01CD7DAF}" name="PO NUMBER" dataDxfId="3"/>
    <tableColumn id="12" xr3:uid="{A7CCE7D5-812C-4352-9F0E-11BF57740748}" name="Service Now Request #" dataDxfId="2"/>
    <tableColumn id="13" xr3:uid="{730BD4D4-504A-4F41-A3C5-62555AEE3CE8}" name="MONTHLY RATE $" dataDxfId="1"/>
    <tableColumn id="16" xr3:uid="{6E3B8B49-34EF-4530-BE38-96C3F0DCA446}" name="COMMENTS"/>
    <tableColumn id="6" xr3:uid="{F3780F22-5450-4D7D-8B89-E02E2E912228}" name="REQ #"/>
  </tableColumns>
  <tableStyleInfo name="TableStyleMedium2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robby.watson@clevelandcliffs.com" TargetMode="External"/><Relationship Id="rId21" Type="http://schemas.openxmlformats.org/officeDocument/2006/relationships/hyperlink" Target="mailto:KENYATTA.MCGEE@CLEVELANDCLIFFS.COM" TargetMode="External"/><Relationship Id="rId42" Type="http://schemas.openxmlformats.org/officeDocument/2006/relationships/hyperlink" Target="mailto:michael.steinhubel@clevelandcliffs.com" TargetMode="External"/><Relationship Id="rId63" Type="http://schemas.openxmlformats.org/officeDocument/2006/relationships/hyperlink" Target="mailto:jeffery.ray@clevelandcliffs.com" TargetMode="External"/><Relationship Id="rId84" Type="http://schemas.openxmlformats.org/officeDocument/2006/relationships/hyperlink" Target="mailto:matthew.domsic@clevelandcliffs.com" TargetMode="External"/><Relationship Id="rId138" Type="http://schemas.openxmlformats.org/officeDocument/2006/relationships/hyperlink" Target="mailto:donald.angert@clevelandcliffs.com" TargetMode="External"/><Relationship Id="rId159" Type="http://schemas.openxmlformats.org/officeDocument/2006/relationships/hyperlink" Target="mailto:walter.dillin@clevelandcliffs.com" TargetMode="External"/><Relationship Id="rId170" Type="http://schemas.openxmlformats.org/officeDocument/2006/relationships/hyperlink" Target="mailto:dan.covert@clevelandcliffs.com" TargetMode="External"/><Relationship Id="rId107" Type="http://schemas.openxmlformats.org/officeDocument/2006/relationships/hyperlink" Target="mailto:daniel.poppjr@clevelandcliffs.com" TargetMode="External"/><Relationship Id="rId11" Type="http://schemas.openxmlformats.org/officeDocument/2006/relationships/hyperlink" Target="mailto:john.kick@clevelandcliffs.com" TargetMode="External"/><Relationship Id="rId32" Type="http://schemas.openxmlformats.org/officeDocument/2006/relationships/hyperlink" Target="mailto:michael.steinhubel@clevelandcliffs.com" TargetMode="External"/><Relationship Id="rId53" Type="http://schemas.openxmlformats.org/officeDocument/2006/relationships/hyperlink" Target="mailto:johnny.johnston@clevelandcliffs.com" TargetMode="External"/><Relationship Id="rId74" Type="http://schemas.openxmlformats.org/officeDocument/2006/relationships/hyperlink" Target="mailto:GREGORY.PUCKETT@CLEVELANDCLIFFS.COM" TargetMode="External"/><Relationship Id="rId128" Type="http://schemas.openxmlformats.org/officeDocument/2006/relationships/hyperlink" Target="mailto:WILL.DREWIECKI@CLEVELANDCLIFFS.COM" TargetMode="External"/><Relationship Id="rId149" Type="http://schemas.openxmlformats.org/officeDocument/2006/relationships/hyperlink" Target="mailto:ronald.chapman@clevelandcliffs.com" TargetMode="External"/><Relationship Id="rId5" Type="http://schemas.openxmlformats.org/officeDocument/2006/relationships/hyperlink" Target="mailto:GREGORY.PUCKETT@CLEVELANDCLIFFS.COM" TargetMode="External"/><Relationship Id="rId95" Type="http://schemas.openxmlformats.org/officeDocument/2006/relationships/hyperlink" Target="mailto:peter.trinidadjr@clevelandcliffs.com" TargetMode="External"/><Relationship Id="rId160" Type="http://schemas.openxmlformats.org/officeDocument/2006/relationships/hyperlink" Target="mailto:robby.watson@clevelandcliffs.com" TargetMode="External"/><Relationship Id="rId22" Type="http://schemas.openxmlformats.org/officeDocument/2006/relationships/hyperlink" Target="mailto:GREGORY.PUCKETT@CLEVELANDCLIFFS.COM" TargetMode="External"/><Relationship Id="rId43" Type="http://schemas.openxmlformats.org/officeDocument/2006/relationships/hyperlink" Target="mailto:donald.angert@clevelandcliffs.com" TargetMode="External"/><Relationship Id="rId64" Type="http://schemas.openxmlformats.org/officeDocument/2006/relationships/hyperlink" Target="mailto:jeffery.ray@clevelandcliffs.com" TargetMode="External"/><Relationship Id="rId118" Type="http://schemas.openxmlformats.org/officeDocument/2006/relationships/hyperlink" Target="mailto:ronald.chapman@clevelandcliffs.com" TargetMode="External"/><Relationship Id="rId139" Type="http://schemas.openxmlformats.org/officeDocument/2006/relationships/hyperlink" Target="mailto:ronald.chapman@clevelandcliffs.com" TargetMode="External"/><Relationship Id="rId85" Type="http://schemas.openxmlformats.org/officeDocument/2006/relationships/hyperlink" Target="mailto:KENYATTA.MCGEE@CLEVELANDCLIFFS.COM" TargetMode="External"/><Relationship Id="rId150" Type="http://schemas.openxmlformats.org/officeDocument/2006/relationships/hyperlink" Target="mailto:STEWART.CARPENTER@CLEVELANDCLIFFS.COM" TargetMode="External"/><Relationship Id="rId171" Type="http://schemas.openxmlformats.org/officeDocument/2006/relationships/hyperlink" Target="mailto:kamron.nekoomaram@clevelandcliffs.com" TargetMode="External"/><Relationship Id="rId12" Type="http://schemas.openxmlformats.org/officeDocument/2006/relationships/hyperlink" Target="mailto:jeffrey.ray@clevelandcliffs.com" TargetMode="External"/><Relationship Id="rId33" Type="http://schemas.openxmlformats.org/officeDocument/2006/relationships/hyperlink" Target="mailto:ronald.chapman@clevelandcliffs.com" TargetMode="External"/><Relationship Id="rId108" Type="http://schemas.openxmlformats.org/officeDocument/2006/relationships/hyperlink" Target="mailto:LYNN.NOVAK@CLEVELANDCLIFFS.COM" TargetMode="External"/><Relationship Id="rId129" Type="http://schemas.openxmlformats.org/officeDocument/2006/relationships/hyperlink" Target="mailto:brian.edwards@clevelandcliffs.com" TargetMode="External"/><Relationship Id="rId54" Type="http://schemas.openxmlformats.org/officeDocument/2006/relationships/hyperlink" Target="mailto:thomas.maicher@clevelandcliffs.com" TargetMode="External"/><Relationship Id="rId75" Type="http://schemas.openxmlformats.org/officeDocument/2006/relationships/hyperlink" Target="mailto:robby.watson@clevelandcliffs.com" TargetMode="External"/><Relationship Id="rId96" Type="http://schemas.openxmlformats.org/officeDocument/2006/relationships/hyperlink" Target="mailto:arturo.arranaga@clevelandcliffs.com" TargetMode="External"/><Relationship Id="rId140" Type="http://schemas.openxmlformats.org/officeDocument/2006/relationships/hyperlink" Target="mailto:JOHN.OLASHUK@CLEVELANDCLIFFS.COM" TargetMode="External"/><Relationship Id="rId161" Type="http://schemas.openxmlformats.org/officeDocument/2006/relationships/hyperlink" Target="mailto:robby.watson@clevelandcliffs.com" TargetMode="External"/><Relationship Id="rId1" Type="http://schemas.openxmlformats.org/officeDocument/2006/relationships/hyperlink" Target="mailto:augustus.sandilla@clevelandcliffs.com" TargetMode="External"/><Relationship Id="rId6" Type="http://schemas.openxmlformats.org/officeDocument/2006/relationships/hyperlink" Target="mailto:jeffery.ray@clevelandcliffs.com" TargetMode="External"/><Relationship Id="rId23" Type="http://schemas.openxmlformats.org/officeDocument/2006/relationships/hyperlink" Target="mailto:walter.dillin@clevelandcliffs.com" TargetMode="External"/><Relationship Id="rId28" Type="http://schemas.openxmlformats.org/officeDocument/2006/relationships/hyperlink" Target="mailto:GREGORY.PUCKETT@CLEVELANDCLIFFS.COM" TargetMode="External"/><Relationship Id="rId49" Type="http://schemas.openxmlformats.org/officeDocument/2006/relationships/hyperlink" Target="mailto:john.horvat@clevelandcliffs.com" TargetMode="External"/><Relationship Id="rId114" Type="http://schemas.openxmlformats.org/officeDocument/2006/relationships/hyperlink" Target="mailto:walter.dillin@clevelandcliffs.com" TargetMode="External"/><Relationship Id="rId119" Type="http://schemas.openxmlformats.org/officeDocument/2006/relationships/hyperlink" Target="mailto:ronald.chapman@clevelandcliffs.com" TargetMode="External"/><Relationship Id="rId44" Type="http://schemas.openxmlformats.org/officeDocument/2006/relationships/hyperlink" Target="mailto:robby.watson@clevelandcliffs.com" TargetMode="External"/><Relationship Id="rId60" Type="http://schemas.openxmlformats.org/officeDocument/2006/relationships/hyperlink" Target="mailto:DAVID.VITTITOE@CLEVELANDCLIFFS.COM" TargetMode="External"/><Relationship Id="rId65" Type="http://schemas.openxmlformats.org/officeDocument/2006/relationships/hyperlink" Target="mailto:robby.watson@clevelandcliffs.com" TargetMode="External"/><Relationship Id="rId81" Type="http://schemas.openxmlformats.org/officeDocument/2006/relationships/hyperlink" Target="mailto:arturo.arranaga@clevelandcliffs.com" TargetMode="External"/><Relationship Id="rId86" Type="http://schemas.openxmlformats.org/officeDocument/2006/relationships/hyperlink" Target="mailto:STANLEY.IGRAS@CLEVELANDCLIFFS.COM" TargetMode="External"/><Relationship Id="rId130" Type="http://schemas.openxmlformats.org/officeDocument/2006/relationships/hyperlink" Target="mailto:GREGORY.PUCKETT@CLEVELANDCLIFFS.COM" TargetMode="External"/><Relationship Id="rId135" Type="http://schemas.openxmlformats.org/officeDocument/2006/relationships/hyperlink" Target="mailto:jeffery.ray@clevelandcliffs.com" TargetMode="External"/><Relationship Id="rId151" Type="http://schemas.openxmlformats.org/officeDocument/2006/relationships/hyperlink" Target="mailto:STEWART.CARPENTER@CLEVELANDCLIFFS.COM" TargetMode="External"/><Relationship Id="rId156" Type="http://schemas.openxmlformats.org/officeDocument/2006/relationships/hyperlink" Target="mailto:ronald.chapman@clevelandcliffs.com" TargetMode="External"/><Relationship Id="rId172" Type="http://schemas.openxmlformats.org/officeDocument/2006/relationships/hyperlink" Target="mailto:donald.angert@clevelandcliffs.com" TargetMode="External"/><Relationship Id="rId13" Type="http://schemas.openxmlformats.org/officeDocument/2006/relationships/hyperlink" Target="mailto:donald.angert@clevelandcliffs.com" TargetMode="External"/><Relationship Id="rId18" Type="http://schemas.openxmlformats.org/officeDocument/2006/relationships/hyperlink" Target="mailto:robby.watson@clevelandcliffs.com" TargetMode="External"/><Relationship Id="rId39" Type="http://schemas.openxmlformats.org/officeDocument/2006/relationships/hyperlink" Target="mailto:brodie.cotter@clevelandcliffs.com" TargetMode="External"/><Relationship Id="rId109" Type="http://schemas.openxmlformats.org/officeDocument/2006/relationships/hyperlink" Target="mailto:LYNN.NOVAK@CLEVELANDCLIFFS.COM" TargetMode="External"/><Relationship Id="rId34" Type="http://schemas.openxmlformats.org/officeDocument/2006/relationships/hyperlink" Target="mailto:rodney.champion@clevelandcliffs.com" TargetMode="External"/><Relationship Id="rId50" Type="http://schemas.openxmlformats.org/officeDocument/2006/relationships/hyperlink" Target="mailto:robby.watson@clevelandcliffs.com" TargetMode="External"/><Relationship Id="rId55" Type="http://schemas.openxmlformats.org/officeDocument/2006/relationships/hyperlink" Target="mailto:lynn.novak@clevelandcliffs.com" TargetMode="External"/><Relationship Id="rId76" Type="http://schemas.openxmlformats.org/officeDocument/2006/relationships/hyperlink" Target="mailto:DAVID.VITTITOE@CLEVELANDCLIFFS.COM" TargetMode="External"/><Relationship Id="rId97" Type="http://schemas.openxmlformats.org/officeDocument/2006/relationships/hyperlink" Target="mailto:GREGORY.PUCKETT@CLEVELANDCLIFFS.COM" TargetMode="External"/><Relationship Id="rId104" Type="http://schemas.openxmlformats.org/officeDocument/2006/relationships/hyperlink" Target="mailto:KENYATTA.MCGEE@CLEVELANDCLIFFS.COM" TargetMode="External"/><Relationship Id="rId120" Type="http://schemas.openxmlformats.org/officeDocument/2006/relationships/hyperlink" Target="mailto:BRADY.RITZERT@CLEVELANDCLIFFS.COM" TargetMode="External"/><Relationship Id="rId125" Type="http://schemas.openxmlformats.org/officeDocument/2006/relationships/hyperlink" Target="mailto:GORDON.JOHNSON@CLEVELANDCLIFFS.COM" TargetMode="External"/><Relationship Id="rId141" Type="http://schemas.openxmlformats.org/officeDocument/2006/relationships/hyperlink" Target="mailto:RANDY.COFFMAN@CLEVELANDCLIFFS.COM" TargetMode="External"/><Relationship Id="rId146" Type="http://schemas.openxmlformats.org/officeDocument/2006/relationships/hyperlink" Target="mailto:SCOTT.HALL@CLEVELANDCLIFFS.COM" TargetMode="External"/><Relationship Id="rId167" Type="http://schemas.openxmlformats.org/officeDocument/2006/relationships/hyperlink" Target="mailto:HECTOR.MOYO@CLEVELANDCLIFFS.COM" TargetMode="External"/><Relationship Id="rId7" Type="http://schemas.openxmlformats.org/officeDocument/2006/relationships/hyperlink" Target="mailto:arturo.arranaga@clevelandcliffs.com" TargetMode="External"/><Relationship Id="rId71" Type="http://schemas.openxmlformats.org/officeDocument/2006/relationships/hyperlink" Target="mailto:GREGORY.PUCKETT@CLEVELANDCLIFFS.COM" TargetMode="External"/><Relationship Id="rId92" Type="http://schemas.openxmlformats.org/officeDocument/2006/relationships/hyperlink" Target="mailto:fredrick.yagerll@clevelandcliffs.com" TargetMode="External"/><Relationship Id="rId162" Type="http://schemas.openxmlformats.org/officeDocument/2006/relationships/hyperlink" Target="mailto:MICHAEL.MATULA@CLEVELANDCLIFFS.COM" TargetMode="External"/><Relationship Id="rId2" Type="http://schemas.openxmlformats.org/officeDocument/2006/relationships/hyperlink" Target="mailto:KENYATTA.MCGEE@CLEVELANDCLIFFS.COM" TargetMode="External"/><Relationship Id="rId29" Type="http://schemas.openxmlformats.org/officeDocument/2006/relationships/hyperlink" Target="mailto:bradley.piasecki@clevelandcliffs.com" TargetMode="External"/><Relationship Id="rId24" Type="http://schemas.openxmlformats.org/officeDocument/2006/relationships/hyperlink" Target="mailto:james.oreilly@clevelandcliffs.com" TargetMode="External"/><Relationship Id="rId40" Type="http://schemas.openxmlformats.org/officeDocument/2006/relationships/hyperlink" Target="mailto:ronald.chapman@clevelandcliffs.com" TargetMode="External"/><Relationship Id="rId45" Type="http://schemas.openxmlformats.org/officeDocument/2006/relationships/hyperlink" Target="mailto:arturo.arranaga@clevelandcliffs.com" TargetMode="External"/><Relationship Id="rId66" Type="http://schemas.openxmlformats.org/officeDocument/2006/relationships/hyperlink" Target="mailto:bradley.piasecki@clevelandcliffs.com" TargetMode="External"/><Relationship Id="rId87" Type="http://schemas.openxmlformats.org/officeDocument/2006/relationships/hyperlink" Target="mailto:arturo.arranaga@clevelandcliffs.com" TargetMode="External"/><Relationship Id="rId110" Type="http://schemas.openxmlformats.org/officeDocument/2006/relationships/hyperlink" Target="mailto:LYNN.NOVAK@CLEVELANDCLIFFS.COM" TargetMode="External"/><Relationship Id="rId115" Type="http://schemas.openxmlformats.org/officeDocument/2006/relationships/hyperlink" Target="mailto:donald.angert@clevelandcliffs.com" TargetMode="External"/><Relationship Id="rId131" Type="http://schemas.openxmlformats.org/officeDocument/2006/relationships/hyperlink" Target="mailto:megan.cole@clevelandcliffs.com" TargetMode="External"/><Relationship Id="rId136" Type="http://schemas.openxmlformats.org/officeDocument/2006/relationships/hyperlink" Target="mailto:donald.angert@clevelandcliffs.com" TargetMode="External"/><Relationship Id="rId157" Type="http://schemas.openxmlformats.org/officeDocument/2006/relationships/hyperlink" Target="mailto:KENYATTA.MCGEE@CLEVELANDCLIFFS.COM" TargetMode="External"/><Relationship Id="rId61" Type="http://schemas.openxmlformats.org/officeDocument/2006/relationships/hyperlink" Target="mailto:GREGORY.PUCKETT@CLEVELANDCLIFFS.COM" TargetMode="External"/><Relationship Id="rId82" Type="http://schemas.openxmlformats.org/officeDocument/2006/relationships/hyperlink" Target="mailto:GREGORY.PUCKETT@CLEVELANDCLIFFS.COM" TargetMode="External"/><Relationship Id="rId152" Type="http://schemas.openxmlformats.org/officeDocument/2006/relationships/hyperlink" Target="mailto:GREGORY.PUCKETT@CLEVELANDCLIFFS.COM" TargetMode="External"/><Relationship Id="rId173" Type="http://schemas.openxmlformats.org/officeDocument/2006/relationships/hyperlink" Target="mailto:victor.rubalcava@clevelandcliffs.com" TargetMode="External"/><Relationship Id="rId19" Type="http://schemas.openxmlformats.org/officeDocument/2006/relationships/hyperlink" Target="mailto:KENYATTA.MCGEE@CLEVELANDCLIFFS.COM" TargetMode="External"/><Relationship Id="rId14" Type="http://schemas.openxmlformats.org/officeDocument/2006/relationships/hyperlink" Target="mailto:victor.rubalcava@clevelandcliffs.com" TargetMode="External"/><Relationship Id="rId30" Type="http://schemas.openxmlformats.org/officeDocument/2006/relationships/hyperlink" Target="mailto:robby.watson@clevelandcliffs.com" TargetMode="External"/><Relationship Id="rId35" Type="http://schemas.openxmlformats.org/officeDocument/2006/relationships/hyperlink" Target="mailto:JONATHAN.BENTLEY@CLEVELANDCLIFFS.COM" TargetMode="External"/><Relationship Id="rId56" Type="http://schemas.openxmlformats.org/officeDocument/2006/relationships/hyperlink" Target="mailto:robby.watson@clevelandcliffs.com" TargetMode="External"/><Relationship Id="rId77" Type="http://schemas.openxmlformats.org/officeDocument/2006/relationships/hyperlink" Target="mailto:bradley.piasecki@clevelandcliffs.com" TargetMode="External"/><Relationship Id="rId100" Type="http://schemas.openxmlformats.org/officeDocument/2006/relationships/hyperlink" Target="mailto:gary.kinny@clevelandcliffs.com" TargetMode="External"/><Relationship Id="rId105" Type="http://schemas.openxmlformats.org/officeDocument/2006/relationships/hyperlink" Target="mailto:GREGORY.PUCKETT@CLEVELANDCLIFFS.COM" TargetMode="External"/><Relationship Id="rId126" Type="http://schemas.openxmlformats.org/officeDocument/2006/relationships/hyperlink" Target="mailto:donald.angert@clevelandcliffs.com" TargetMode="External"/><Relationship Id="rId147" Type="http://schemas.openxmlformats.org/officeDocument/2006/relationships/hyperlink" Target="mailto:SCOTT.HALL@CLEVELANDCLIFFS.COM" TargetMode="External"/><Relationship Id="rId168" Type="http://schemas.openxmlformats.org/officeDocument/2006/relationships/hyperlink" Target="mailto:NICK.NEFF@CLEVELANDCLIFFS.COM" TargetMode="External"/><Relationship Id="rId8" Type="http://schemas.openxmlformats.org/officeDocument/2006/relationships/hyperlink" Target="mailto:TODD.SIPOCH@CLEVELANDCLIFFS.COM" TargetMode="External"/><Relationship Id="rId51" Type="http://schemas.openxmlformats.org/officeDocument/2006/relationships/hyperlink" Target="mailto:thomas.maicher@clevelandcliffs.com" TargetMode="External"/><Relationship Id="rId72" Type="http://schemas.openxmlformats.org/officeDocument/2006/relationships/hyperlink" Target="mailto:robby.watson@clevelandcliffs.com" TargetMode="External"/><Relationship Id="rId93" Type="http://schemas.openxmlformats.org/officeDocument/2006/relationships/hyperlink" Target="mailto:DAVID.VITTITOE@CLEVELANDCLIFFS.COM" TargetMode="External"/><Relationship Id="rId98" Type="http://schemas.openxmlformats.org/officeDocument/2006/relationships/hyperlink" Target="mailto:walter.dillin@clevelandcliffs.com" TargetMode="External"/><Relationship Id="rId121" Type="http://schemas.openxmlformats.org/officeDocument/2006/relationships/hyperlink" Target="mailto:NICK.NEFF@CLEVELANDCLIFFS.COM" TargetMode="External"/><Relationship Id="rId142" Type="http://schemas.openxmlformats.org/officeDocument/2006/relationships/hyperlink" Target="mailto:ronald.chapman@clevelandcliffs.com" TargetMode="External"/><Relationship Id="rId163" Type="http://schemas.openxmlformats.org/officeDocument/2006/relationships/hyperlink" Target="mailto:ronald.chapman@clevelandcliffs.com" TargetMode="External"/><Relationship Id="rId3" Type="http://schemas.openxmlformats.org/officeDocument/2006/relationships/hyperlink" Target="mailto:GREGORY.PUCKETT@CLEVELANDCLIFFS.COM" TargetMode="External"/><Relationship Id="rId25" Type="http://schemas.openxmlformats.org/officeDocument/2006/relationships/hyperlink" Target="mailto:keegan.bernard@clevelandcliffs.com" TargetMode="External"/><Relationship Id="rId46" Type="http://schemas.openxmlformats.org/officeDocument/2006/relationships/hyperlink" Target="mailto:john.horvat@clevelandcliffs.com" TargetMode="External"/><Relationship Id="rId67" Type="http://schemas.openxmlformats.org/officeDocument/2006/relationships/hyperlink" Target="mailto:HECTOR.MOYO@CLEVELANDCLIFFS.COM" TargetMode="External"/><Relationship Id="rId116" Type="http://schemas.openxmlformats.org/officeDocument/2006/relationships/hyperlink" Target="mailto:jeffery.ray@clevelandcliffs.com" TargetMode="External"/><Relationship Id="rId137" Type="http://schemas.openxmlformats.org/officeDocument/2006/relationships/hyperlink" Target="mailto:GREGORY.PUCKETT@CLEVELANDCLIFFS.COM" TargetMode="External"/><Relationship Id="rId158" Type="http://schemas.openxmlformats.org/officeDocument/2006/relationships/hyperlink" Target="mailto:richard.statler@clevelandcliffs.com" TargetMode="External"/><Relationship Id="rId20" Type="http://schemas.openxmlformats.org/officeDocument/2006/relationships/hyperlink" Target="mailto:richard.hathaway@clevelandcliff.com" TargetMode="External"/><Relationship Id="rId41" Type="http://schemas.openxmlformats.org/officeDocument/2006/relationships/hyperlink" Target="mailto:arturo.arranaga@clevelandcliffs.com" TargetMode="External"/><Relationship Id="rId62" Type="http://schemas.openxmlformats.org/officeDocument/2006/relationships/hyperlink" Target="mailto:jason.fetla@clevelandcliffs.com" TargetMode="External"/><Relationship Id="rId83" Type="http://schemas.openxmlformats.org/officeDocument/2006/relationships/hyperlink" Target="mailto:GREGORY.PUCKETT@CLEVELANDCLIFFS.COM" TargetMode="External"/><Relationship Id="rId88" Type="http://schemas.openxmlformats.org/officeDocument/2006/relationships/hyperlink" Target="mailto:jim.boger@clevelandcliffs.com" TargetMode="External"/><Relationship Id="rId111" Type="http://schemas.openxmlformats.org/officeDocument/2006/relationships/hyperlink" Target="mailto:brian.edwards@clevelandcliffs.com" TargetMode="External"/><Relationship Id="rId132" Type="http://schemas.openxmlformats.org/officeDocument/2006/relationships/hyperlink" Target="mailto:dan.covert@clevelandcliffs.com" TargetMode="External"/><Relationship Id="rId153" Type="http://schemas.openxmlformats.org/officeDocument/2006/relationships/hyperlink" Target="mailto:ANDREW.MULLEN@CLEVELANDCLIFFS.COM" TargetMode="External"/><Relationship Id="rId174" Type="http://schemas.openxmlformats.org/officeDocument/2006/relationships/printerSettings" Target="../printerSettings/printerSettings1.bin"/><Relationship Id="rId15" Type="http://schemas.openxmlformats.org/officeDocument/2006/relationships/hyperlink" Target="mailto:bradley.piasecki@arcelormittal.com" TargetMode="External"/><Relationship Id="rId36" Type="http://schemas.openxmlformats.org/officeDocument/2006/relationships/hyperlink" Target="mailto:harrison.moenster@clevelandcliffs.com" TargetMode="External"/><Relationship Id="rId57" Type="http://schemas.openxmlformats.org/officeDocument/2006/relationships/hyperlink" Target="mailto:harrison.moenster@clevelandcliffs.com" TargetMode="External"/><Relationship Id="rId106" Type="http://schemas.openxmlformats.org/officeDocument/2006/relationships/hyperlink" Target="mailto:brian.brzycki@clevelandcliffs.com" TargetMode="External"/><Relationship Id="rId127" Type="http://schemas.openxmlformats.org/officeDocument/2006/relationships/hyperlink" Target="mailto:harrison.moenster@clevelandcliffs.com" TargetMode="External"/><Relationship Id="rId10" Type="http://schemas.openxmlformats.org/officeDocument/2006/relationships/hyperlink" Target="mailto:chad.boettcher@arcelormittal.com" TargetMode="External"/><Relationship Id="rId31" Type="http://schemas.openxmlformats.org/officeDocument/2006/relationships/hyperlink" Target="mailto:dan.covert@clevelandcliffs.com" TargetMode="External"/><Relationship Id="rId52" Type="http://schemas.openxmlformats.org/officeDocument/2006/relationships/hyperlink" Target="mailto:arturo.arranaga@clevelandcliffs.com" TargetMode="External"/><Relationship Id="rId73" Type="http://schemas.openxmlformats.org/officeDocument/2006/relationships/hyperlink" Target="mailto:ronald.chapman@clevelandcliffs.com" TargetMode="External"/><Relationship Id="rId78" Type="http://schemas.openxmlformats.org/officeDocument/2006/relationships/hyperlink" Target="mailto:NICK.NEFF@CLEVELANDCLIFFS.COM" TargetMode="External"/><Relationship Id="rId94" Type="http://schemas.openxmlformats.org/officeDocument/2006/relationships/hyperlink" Target="mailto:fredrick.yagerll@clevelandcliffs.com" TargetMode="External"/><Relationship Id="rId99" Type="http://schemas.openxmlformats.org/officeDocument/2006/relationships/hyperlink" Target="mailto:GREGORY.PUCKETT@CLEVELANDCLIFFS.COM" TargetMode="External"/><Relationship Id="rId101" Type="http://schemas.openxmlformats.org/officeDocument/2006/relationships/hyperlink" Target="mailto:George.montroy@acelormittal.com" TargetMode="External"/><Relationship Id="rId122" Type="http://schemas.openxmlformats.org/officeDocument/2006/relationships/hyperlink" Target="mailto:al.matual@clevelandcliffs.com" TargetMode="External"/><Relationship Id="rId143" Type="http://schemas.openxmlformats.org/officeDocument/2006/relationships/hyperlink" Target="mailto:robert.kuemmeth@arcelormittal.com" TargetMode="External"/><Relationship Id="rId148" Type="http://schemas.openxmlformats.org/officeDocument/2006/relationships/hyperlink" Target="mailto:robby.watson@clevelandcliffs.com" TargetMode="External"/><Relationship Id="rId164" Type="http://schemas.openxmlformats.org/officeDocument/2006/relationships/hyperlink" Target="mailto:robby.watson@clevelandcliffs.com" TargetMode="External"/><Relationship Id="rId169" Type="http://schemas.openxmlformats.org/officeDocument/2006/relationships/hyperlink" Target="mailto:MICHAEL.BRIDGES@CLEVELANDCLIFFS.COM" TargetMode="External"/><Relationship Id="rId4" Type="http://schemas.openxmlformats.org/officeDocument/2006/relationships/hyperlink" Target="mailto:GREGORY.PUCKETT@CLEVELANDCLIFFS.COM" TargetMode="External"/><Relationship Id="rId9" Type="http://schemas.openxmlformats.org/officeDocument/2006/relationships/hyperlink" Target="mailto:George.montroy@acelormittal.com" TargetMode="External"/><Relationship Id="rId26" Type="http://schemas.openxmlformats.org/officeDocument/2006/relationships/hyperlink" Target="mailto:jason.fetla@clevelandcliffs.com" TargetMode="External"/><Relationship Id="rId47" Type="http://schemas.openxmlformats.org/officeDocument/2006/relationships/hyperlink" Target="mailto:keegan.bernard@clevelandcliffs.com" TargetMode="External"/><Relationship Id="rId68" Type="http://schemas.openxmlformats.org/officeDocument/2006/relationships/hyperlink" Target="mailto:john.balas@clevelandcliffs.com" TargetMode="External"/><Relationship Id="rId89" Type="http://schemas.openxmlformats.org/officeDocument/2006/relationships/hyperlink" Target="mailto:fredrick.yagerll@clevelandcliffs.com" TargetMode="External"/><Relationship Id="rId112" Type="http://schemas.openxmlformats.org/officeDocument/2006/relationships/hyperlink" Target="mailto:NICK.NEFF@CLEVELANDCLIFFS.COM" TargetMode="External"/><Relationship Id="rId133" Type="http://schemas.openxmlformats.org/officeDocument/2006/relationships/hyperlink" Target="mailto:KENYATTA.MCGEE@CLEVELANDCLIFFS.COM" TargetMode="External"/><Relationship Id="rId154" Type="http://schemas.openxmlformats.org/officeDocument/2006/relationships/hyperlink" Target="mailto:brodie.cotter@clevelandcliffs.com" TargetMode="External"/><Relationship Id="rId175" Type="http://schemas.openxmlformats.org/officeDocument/2006/relationships/table" Target="../tables/table1.xml"/><Relationship Id="rId16" Type="http://schemas.openxmlformats.org/officeDocument/2006/relationships/hyperlink" Target="mailto:kurt.mullins@clevelandcliffs.com" TargetMode="External"/><Relationship Id="rId37" Type="http://schemas.openxmlformats.org/officeDocument/2006/relationships/hyperlink" Target="mailto:robert.kuemmeth@arcelormittal.com" TargetMode="External"/><Relationship Id="rId58" Type="http://schemas.openxmlformats.org/officeDocument/2006/relationships/hyperlink" Target="mailto:GREGORY.PUCKETT@CLEVELANDCLIFFS.COM" TargetMode="External"/><Relationship Id="rId79" Type="http://schemas.openxmlformats.org/officeDocument/2006/relationships/hyperlink" Target="mailto:NICK.NEFF@CLEVELANDCLIFFS.COM" TargetMode="External"/><Relationship Id="rId102" Type="http://schemas.openxmlformats.org/officeDocument/2006/relationships/hyperlink" Target="mailto:peter.trinidadjr@clevelandcliffs.com" TargetMode="External"/><Relationship Id="rId123" Type="http://schemas.openxmlformats.org/officeDocument/2006/relationships/hyperlink" Target="mailto:al.matual@clevelandcliffs.com" TargetMode="External"/><Relationship Id="rId144" Type="http://schemas.openxmlformats.org/officeDocument/2006/relationships/hyperlink" Target="mailto:ronald.chapman@clevelandcliffs.com" TargetMode="External"/><Relationship Id="rId90" Type="http://schemas.openxmlformats.org/officeDocument/2006/relationships/hyperlink" Target="mailto:George.montroy@acelormittal.com" TargetMode="External"/><Relationship Id="rId165" Type="http://schemas.openxmlformats.org/officeDocument/2006/relationships/hyperlink" Target="mailto:DOUGLAS.SHAW@CLEVELANDCLIFFS.COM" TargetMode="External"/><Relationship Id="rId27" Type="http://schemas.openxmlformats.org/officeDocument/2006/relationships/hyperlink" Target="mailto:NICK.NEFF@CLEVELANDCLIFFS.COM" TargetMode="External"/><Relationship Id="rId48" Type="http://schemas.openxmlformats.org/officeDocument/2006/relationships/hyperlink" Target="mailto:michael.scarsella@clevelandcliffs.com" TargetMode="External"/><Relationship Id="rId69" Type="http://schemas.openxmlformats.org/officeDocument/2006/relationships/hyperlink" Target="mailto:dan.covert@clevelandcliffs.com" TargetMode="External"/><Relationship Id="rId113" Type="http://schemas.openxmlformats.org/officeDocument/2006/relationships/hyperlink" Target="mailto:richard.hale@clevelandcliffs.com" TargetMode="External"/><Relationship Id="rId134" Type="http://schemas.openxmlformats.org/officeDocument/2006/relationships/hyperlink" Target="mailto:robert.kuemmeth@arcelormittal.com" TargetMode="External"/><Relationship Id="rId80" Type="http://schemas.openxmlformats.org/officeDocument/2006/relationships/hyperlink" Target="mailto:jeffery.ray@clevelandcliffs.com" TargetMode="External"/><Relationship Id="rId155" Type="http://schemas.openxmlformats.org/officeDocument/2006/relationships/hyperlink" Target="mailto:johnny.johnston@clevelandcliffs.com" TargetMode="External"/><Relationship Id="rId17" Type="http://schemas.openxmlformats.org/officeDocument/2006/relationships/hyperlink" Target="mailto:bradley.piasecki@clevelandcliffs.com" TargetMode="External"/><Relationship Id="rId38" Type="http://schemas.openxmlformats.org/officeDocument/2006/relationships/hyperlink" Target="mailto:david.funk@clevelandcliffs.com/MIKE%20STEINHUBAL" TargetMode="External"/><Relationship Id="rId59" Type="http://schemas.openxmlformats.org/officeDocument/2006/relationships/hyperlink" Target="mailto:bradley.piasecki@clevelandcliffs.com" TargetMode="External"/><Relationship Id="rId103" Type="http://schemas.openxmlformats.org/officeDocument/2006/relationships/hyperlink" Target="mailto:ronald.chapman@clevelandcliffs.com" TargetMode="External"/><Relationship Id="rId124" Type="http://schemas.openxmlformats.org/officeDocument/2006/relationships/hyperlink" Target="mailto:JOSEPH.BOYCE@CLEVELANDCLIFFS.COM" TargetMode="External"/><Relationship Id="rId70" Type="http://schemas.openxmlformats.org/officeDocument/2006/relationships/hyperlink" Target="mailto:kamron.nekoomaram@clevelandcliffs.com" TargetMode="External"/><Relationship Id="rId91" Type="http://schemas.openxmlformats.org/officeDocument/2006/relationships/hyperlink" Target="mailto:al.matual@clevelandcliffs.com" TargetMode="External"/><Relationship Id="rId145" Type="http://schemas.openxmlformats.org/officeDocument/2006/relationships/hyperlink" Target="mailto:peter.trinidadjr@clevelandcliffs.com" TargetMode="External"/><Relationship Id="rId166" Type="http://schemas.openxmlformats.org/officeDocument/2006/relationships/hyperlink" Target="mailto:jeffery.ray@clevelandcliffs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29F09-E438-41B0-A145-C2E9E7F5FD12}">
  <dimension ref="A1:N181"/>
  <sheetViews>
    <sheetView tabSelected="1" topLeftCell="D50" zoomScale="80" zoomScaleNormal="80" workbookViewId="0">
      <selection activeCell="N70" sqref="N70"/>
    </sheetView>
  </sheetViews>
  <sheetFormatPr defaultRowHeight="15" x14ac:dyDescent="0.25"/>
  <cols>
    <col min="1" max="1" width="8.28515625" customWidth="1"/>
    <col min="2" max="2" width="25.42578125" customWidth="1"/>
    <col min="3" max="3" width="17.140625" customWidth="1"/>
    <col min="4" max="4" width="10.7109375" customWidth="1"/>
    <col min="5" max="5" width="24.7109375" customWidth="1"/>
    <col min="6" max="6" width="21.42578125" customWidth="1"/>
    <col min="7" max="7" width="18.5703125" customWidth="1"/>
    <col min="8" max="8" width="15.140625" bestFit="1" customWidth="1"/>
    <col min="9" max="9" width="12.42578125" bestFit="1" customWidth="1"/>
    <col min="10" max="10" width="12.140625" customWidth="1"/>
    <col min="11" max="11" width="15.85546875" customWidth="1"/>
    <col min="12" max="12" width="13.7109375" customWidth="1"/>
    <col min="13" max="13" width="61" customWidth="1"/>
    <col min="14" max="14" width="14.42578125" customWidth="1"/>
  </cols>
  <sheetData>
    <row r="1" spans="1:14" ht="32.1" customHeight="1" x14ac:dyDescent="0.25">
      <c r="A1" s="46" t="s">
        <v>0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</row>
    <row r="2" spans="1:14" ht="39" customHeight="1" x14ac:dyDescent="0.25">
      <c r="A2" s="50" t="s">
        <v>1</v>
      </c>
      <c r="B2" s="51"/>
      <c r="C2" s="45" t="s">
        <v>128</v>
      </c>
      <c r="D2" s="45"/>
      <c r="E2" s="45"/>
      <c r="F2" s="2" t="s">
        <v>2</v>
      </c>
      <c r="G2" s="43">
        <v>46101</v>
      </c>
      <c r="H2" s="44"/>
      <c r="I2" s="3" t="s">
        <v>14</v>
      </c>
      <c r="J2" s="48">
        <f>IF(ISBLANK(TRUE),"0",WEEKNUM($G$2))</f>
        <v>12</v>
      </c>
      <c r="K2" s="49"/>
      <c r="L2" s="10" t="s">
        <v>17</v>
      </c>
      <c r="M2" s="9">
        <f>IF(ISBLANK(TRUE),"0",YEAR($G$2))</f>
        <v>2026</v>
      </c>
    </row>
    <row r="3" spans="1:14" ht="44.1" customHeight="1" x14ac:dyDescent="0.25">
      <c r="A3" s="5" t="s">
        <v>3</v>
      </c>
      <c r="B3" s="6" t="s">
        <v>4</v>
      </c>
      <c r="C3" s="6" t="s">
        <v>7</v>
      </c>
      <c r="D3" s="7" t="s">
        <v>5</v>
      </c>
      <c r="E3" s="6" t="s">
        <v>6</v>
      </c>
      <c r="F3" s="6" t="s">
        <v>20</v>
      </c>
      <c r="G3" s="8" t="s">
        <v>8</v>
      </c>
      <c r="H3" s="6" t="s">
        <v>9</v>
      </c>
      <c r="I3" s="6" t="s">
        <v>19</v>
      </c>
      <c r="J3" s="6" t="s">
        <v>10</v>
      </c>
      <c r="K3" s="6" t="s">
        <v>18</v>
      </c>
      <c r="L3" s="8" t="s">
        <v>11</v>
      </c>
      <c r="M3" s="4" t="s">
        <v>12</v>
      </c>
      <c r="N3" s="8" t="s">
        <v>644</v>
      </c>
    </row>
    <row r="4" spans="1:14" ht="18.75" x14ac:dyDescent="0.3">
      <c r="A4" s="14" t="s">
        <v>353</v>
      </c>
      <c r="B4" s="14" t="s">
        <v>293</v>
      </c>
      <c r="C4" s="26" t="s">
        <v>278</v>
      </c>
      <c r="D4" s="14">
        <v>2086</v>
      </c>
      <c r="E4" s="14" t="s">
        <v>359</v>
      </c>
      <c r="F4" s="14" t="s">
        <v>181</v>
      </c>
      <c r="G4" s="22">
        <v>45946</v>
      </c>
      <c r="H4" s="22">
        <v>46127</v>
      </c>
      <c r="I4" s="31">
        <v>805</v>
      </c>
      <c r="J4" s="13" t="s">
        <v>458</v>
      </c>
      <c r="K4" s="14" t="s">
        <v>459</v>
      </c>
      <c r="L4" s="17">
        <v>949.85</v>
      </c>
    </row>
    <row r="5" spans="1:14" ht="18.75" x14ac:dyDescent="0.3">
      <c r="A5" s="14" t="s">
        <v>353</v>
      </c>
      <c r="B5" s="14" t="s">
        <v>294</v>
      </c>
      <c r="C5" s="26" t="s">
        <v>247</v>
      </c>
      <c r="D5" s="14">
        <v>2205</v>
      </c>
      <c r="E5" s="14" t="s">
        <v>412</v>
      </c>
      <c r="F5" s="14" t="s">
        <v>182</v>
      </c>
      <c r="G5" s="22">
        <v>45922</v>
      </c>
      <c r="H5" s="22">
        <v>46286</v>
      </c>
      <c r="I5" s="31">
        <v>810</v>
      </c>
      <c r="J5" s="13" t="s">
        <v>419</v>
      </c>
      <c r="K5" s="14" t="s">
        <v>471</v>
      </c>
      <c r="L5" s="17">
        <v>913.55</v>
      </c>
    </row>
    <row r="6" spans="1:14" ht="18.75" x14ac:dyDescent="0.3">
      <c r="A6" s="14" t="s">
        <v>353</v>
      </c>
      <c r="B6" s="14" t="s">
        <v>295</v>
      </c>
      <c r="C6" s="25" t="s">
        <v>242</v>
      </c>
      <c r="D6" s="14">
        <v>2257</v>
      </c>
      <c r="E6" s="14" t="s">
        <v>348</v>
      </c>
      <c r="F6" s="14" t="s">
        <v>183</v>
      </c>
      <c r="G6" s="22">
        <v>45989</v>
      </c>
      <c r="H6" s="22">
        <v>46353</v>
      </c>
      <c r="I6" s="31">
        <v>810</v>
      </c>
      <c r="J6" s="13" t="s">
        <v>560</v>
      </c>
      <c r="K6" s="14" t="s">
        <v>561</v>
      </c>
      <c r="L6" s="17">
        <v>642.51</v>
      </c>
    </row>
    <row r="7" spans="1:14" ht="18.75" x14ac:dyDescent="0.3">
      <c r="A7" s="14" t="s">
        <v>353</v>
      </c>
      <c r="B7" s="14" t="s">
        <v>296</v>
      </c>
      <c r="C7" s="25" t="s">
        <v>240</v>
      </c>
      <c r="D7" s="14">
        <v>2262</v>
      </c>
      <c r="E7" s="14" t="s">
        <v>412</v>
      </c>
      <c r="F7" s="14" t="s">
        <v>184</v>
      </c>
      <c r="G7" s="22">
        <v>45811</v>
      </c>
      <c r="H7" s="22">
        <v>46175</v>
      </c>
      <c r="I7" s="31">
        <v>805</v>
      </c>
      <c r="J7" s="13" t="s">
        <v>413</v>
      </c>
      <c r="K7" s="14" t="s">
        <v>472</v>
      </c>
      <c r="L7" s="17">
        <v>784.08</v>
      </c>
    </row>
    <row r="8" spans="1:14" ht="18.75" x14ac:dyDescent="0.3">
      <c r="A8" s="14" t="s">
        <v>353</v>
      </c>
      <c r="B8" s="14" t="s">
        <v>297</v>
      </c>
      <c r="C8" s="26" t="s">
        <v>280</v>
      </c>
      <c r="D8" s="14">
        <v>2343</v>
      </c>
      <c r="E8" s="14" t="s">
        <v>412</v>
      </c>
      <c r="F8" s="14" t="s">
        <v>185</v>
      </c>
      <c r="G8" s="22">
        <v>46103</v>
      </c>
      <c r="H8" s="22">
        <v>46286</v>
      </c>
      <c r="I8" s="31">
        <v>805</v>
      </c>
      <c r="J8" s="13" t="s">
        <v>795</v>
      </c>
      <c r="K8" s="14" t="s">
        <v>796</v>
      </c>
      <c r="L8" s="17">
        <v>1004.91</v>
      </c>
      <c r="N8" t="s">
        <v>797</v>
      </c>
    </row>
    <row r="9" spans="1:14" ht="18.75" x14ac:dyDescent="0.3">
      <c r="A9" s="14" t="s">
        <v>353</v>
      </c>
      <c r="B9" s="14" t="s">
        <v>298</v>
      </c>
      <c r="C9" s="26" t="s">
        <v>243</v>
      </c>
      <c r="D9" s="14">
        <v>2410</v>
      </c>
      <c r="E9" s="14" t="s">
        <v>347</v>
      </c>
      <c r="F9" s="14" t="s">
        <v>186</v>
      </c>
      <c r="G9" s="22">
        <v>46074</v>
      </c>
      <c r="H9" s="22">
        <v>46254</v>
      </c>
      <c r="I9" s="31">
        <v>810</v>
      </c>
      <c r="J9" s="13" t="s">
        <v>763</v>
      </c>
      <c r="K9" s="14" t="s">
        <v>764</v>
      </c>
      <c r="L9" s="17">
        <v>1004.91</v>
      </c>
      <c r="N9" t="s">
        <v>765</v>
      </c>
    </row>
    <row r="10" spans="1:14" ht="18.75" x14ac:dyDescent="0.3">
      <c r="A10" s="14" t="s">
        <v>353</v>
      </c>
      <c r="B10" s="14" t="s">
        <v>299</v>
      </c>
      <c r="C10" s="25" t="s">
        <v>244</v>
      </c>
      <c r="D10" s="14">
        <v>2414</v>
      </c>
      <c r="E10" s="14" t="s">
        <v>396</v>
      </c>
      <c r="F10" s="14" t="s">
        <v>187</v>
      </c>
      <c r="G10" s="22">
        <v>45787</v>
      </c>
      <c r="H10" s="22">
        <v>46151</v>
      </c>
      <c r="I10" s="31"/>
      <c r="J10" s="13" t="s">
        <v>169</v>
      </c>
      <c r="K10" s="14" t="s">
        <v>168</v>
      </c>
      <c r="L10" s="17">
        <v>1046.6500000000001</v>
      </c>
    </row>
    <row r="11" spans="1:14" ht="18.75" x14ac:dyDescent="0.3">
      <c r="A11" s="14" t="s">
        <v>353</v>
      </c>
      <c r="B11" s="14" t="s">
        <v>300</v>
      </c>
      <c r="C11" s="25" t="s">
        <v>245</v>
      </c>
      <c r="D11" s="14">
        <v>2494</v>
      </c>
      <c r="E11" s="14" t="s">
        <v>347</v>
      </c>
      <c r="F11" s="14" t="s">
        <v>188</v>
      </c>
      <c r="G11" s="22">
        <v>45613</v>
      </c>
      <c r="H11" s="22">
        <v>45977</v>
      </c>
      <c r="I11" s="31"/>
      <c r="J11" s="13" t="s">
        <v>170</v>
      </c>
      <c r="K11" s="14">
        <v>388264</v>
      </c>
      <c r="L11" s="17">
        <v>830.5</v>
      </c>
    </row>
    <row r="12" spans="1:14" ht="18.75" x14ac:dyDescent="0.3">
      <c r="A12" s="14" t="s">
        <v>353</v>
      </c>
      <c r="B12" s="14" t="s">
        <v>301</v>
      </c>
      <c r="C12" s="25" t="s">
        <v>755</v>
      </c>
      <c r="D12" s="14">
        <v>2554</v>
      </c>
      <c r="E12" s="14" t="s">
        <v>359</v>
      </c>
      <c r="F12" s="14" t="s">
        <v>756</v>
      </c>
      <c r="G12" s="22">
        <v>46082</v>
      </c>
      <c r="H12" s="22">
        <v>46265</v>
      </c>
      <c r="I12" s="31">
        <v>810</v>
      </c>
      <c r="J12" s="13" t="s">
        <v>757</v>
      </c>
      <c r="K12" s="14" t="s">
        <v>758</v>
      </c>
      <c r="L12" s="17">
        <v>1044.8399999999999</v>
      </c>
      <c r="N12" t="s">
        <v>759</v>
      </c>
    </row>
    <row r="13" spans="1:14" ht="18.75" x14ac:dyDescent="0.3">
      <c r="A13" s="14" t="s">
        <v>353</v>
      </c>
      <c r="B13" s="14" t="s">
        <v>299</v>
      </c>
      <c r="C13" s="26" t="s">
        <v>246</v>
      </c>
      <c r="D13" s="14">
        <v>2636</v>
      </c>
      <c r="E13" s="14" t="s">
        <v>395</v>
      </c>
      <c r="F13" s="14" t="s">
        <v>190</v>
      </c>
      <c r="G13" s="22">
        <v>46061</v>
      </c>
      <c r="H13" s="22">
        <v>46241</v>
      </c>
      <c r="I13" s="31">
        <v>640</v>
      </c>
      <c r="J13" s="13" t="s">
        <v>749</v>
      </c>
      <c r="K13" s="14" t="s">
        <v>750</v>
      </c>
      <c r="L13" s="17">
        <v>1815</v>
      </c>
      <c r="N13" t="s">
        <v>751</v>
      </c>
    </row>
    <row r="14" spans="1:14" ht="18.75" x14ac:dyDescent="0.3">
      <c r="A14" s="14" t="s">
        <v>355</v>
      </c>
      <c r="B14" s="14" t="s">
        <v>294</v>
      </c>
      <c r="C14" s="25" t="s">
        <v>247</v>
      </c>
      <c r="D14" s="14">
        <v>2637</v>
      </c>
      <c r="E14" s="14" t="s">
        <v>360</v>
      </c>
      <c r="F14" s="14" t="s">
        <v>191</v>
      </c>
      <c r="G14" s="22">
        <v>45787</v>
      </c>
      <c r="H14" s="22">
        <v>46151</v>
      </c>
      <c r="I14" s="31">
        <v>810</v>
      </c>
      <c r="J14" s="13" t="s">
        <v>364</v>
      </c>
      <c r="K14" s="14" t="s">
        <v>473</v>
      </c>
      <c r="L14" s="17">
        <v>949.85</v>
      </c>
    </row>
    <row r="15" spans="1:14" ht="18.75" x14ac:dyDescent="0.3">
      <c r="A15" s="14" t="s">
        <v>354</v>
      </c>
      <c r="B15" s="14" t="s">
        <v>302</v>
      </c>
      <c r="C15" s="26" t="s">
        <v>260</v>
      </c>
      <c r="D15" s="14">
        <v>2664</v>
      </c>
      <c r="E15" s="14" t="s">
        <v>348</v>
      </c>
      <c r="F15" s="14" t="s">
        <v>192</v>
      </c>
      <c r="G15" s="22">
        <v>46058</v>
      </c>
      <c r="H15" s="22">
        <v>46238</v>
      </c>
      <c r="I15" s="31">
        <v>645</v>
      </c>
      <c r="J15" s="13" t="s">
        <v>692</v>
      </c>
      <c r="K15" s="14" t="s">
        <v>693</v>
      </c>
      <c r="L15" s="17">
        <v>706.76</v>
      </c>
      <c r="N15" t="s">
        <v>694</v>
      </c>
    </row>
    <row r="16" spans="1:14" ht="18.75" x14ac:dyDescent="0.3">
      <c r="A16" s="14" t="s">
        <v>353</v>
      </c>
      <c r="B16" s="14" t="s">
        <v>303</v>
      </c>
      <c r="C16" s="26" t="s">
        <v>250</v>
      </c>
      <c r="D16" s="14">
        <v>2753</v>
      </c>
      <c r="E16" s="14" t="s">
        <v>397</v>
      </c>
      <c r="F16" s="14" t="s">
        <v>194</v>
      </c>
      <c r="G16" s="22">
        <v>45754</v>
      </c>
      <c r="H16" s="22">
        <v>45783</v>
      </c>
      <c r="I16" s="31">
        <v>610</v>
      </c>
      <c r="J16" s="13" t="s">
        <v>362</v>
      </c>
      <c r="K16" s="14" t="s">
        <v>474</v>
      </c>
      <c r="L16" s="17">
        <v>1046.6500000000001</v>
      </c>
    </row>
    <row r="17" spans="1:14" ht="18.75" x14ac:dyDescent="0.3">
      <c r="A17" s="14" t="s">
        <v>353</v>
      </c>
      <c r="B17" s="14" t="s">
        <v>302</v>
      </c>
      <c r="C17" s="26" t="s">
        <v>260</v>
      </c>
      <c r="D17" s="14">
        <v>2796</v>
      </c>
      <c r="E17" s="14" t="s">
        <v>400</v>
      </c>
      <c r="F17" s="14" t="s">
        <v>192</v>
      </c>
      <c r="G17" s="22">
        <v>46062</v>
      </c>
      <c r="H17" s="22">
        <v>46242</v>
      </c>
      <c r="I17" s="31">
        <v>645</v>
      </c>
      <c r="J17" s="13" t="s">
        <v>689</v>
      </c>
      <c r="K17" s="14" t="s">
        <v>690</v>
      </c>
      <c r="L17" s="17">
        <v>1151.32</v>
      </c>
      <c r="M17" t="s">
        <v>691</v>
      </c>
      <c r="N17" t="s">
        <v>695</v>
      </c>
    </row>
    <row r="18" spans="1:14" ht="18.75" x14ac:dyDescent="0.3">
      <c r="A18" s="14" t="s">
        <v>353</v>
      </c>
      <c r="B18" s="14" t="s">
        <v>304</v>
      </c>
      <c r="C18" s="25" t="s">
        <v>251</v>
      </c>
      <c r="D18" s="14">
        <v>2822</v>
      </c>
      <c r="E18" s="14" t="s">
        <v>398</v>
      </c>
      <c r="F18" s="14" t="s">
        <v>195</v>
      </c>
      <c r="G18" s="22">
        <v>45861</v>
      </c>
      <c r="H18" s="22">
        <v>46225</v>
      </c>
      <c r="I18" s="31">
        <v>620</v>
      </c>
      <c r="J18" s="13" t="s">
        <v>393</v>
      </c>
      <c r="K18" s="14" t="s">
        <v>475</v>
      </c>
      <c r="L18" s="17">
        <v>1300</v>
      </c>
    </row>
    <row r="19" spans="1:14" ht="18.75" x14ac:dyDescent="0.3">
      <c r="A19" s="14" t="s">
        <v>353</v>
      </c>
      <c r="B19" s="14" t="s">
        <v>305</v>
      </c>
      <c r="C19" s="25" t="s">
        <v>250</v>
      </c>
      <c r="D19" s="14">
        <v>2862</v>
      </c>
      <c r="E19" s="14" t="s">
        <v>367</v>
      </c>
      <c r="F19" s="14" t="s">
        <v>196</v>
      </c>
      <c r="G19" s="22">
        <v>45820</v>
      </c>
      <c r="H19" s="22">
        <v>46184</v>
      </c>
      <c r="I19" s="31"/>
      <c r="J19" s="13" t="s">
        <v>368</v>
      </c>
      <c r="K19" s="14">
        <v>27868</v>
      </c>
      <c r="L19" s="17">
        <v>756.25</v>
      </c>
    </row>
    <row r="20" spans="1:14" ht="18.75" x14ac:dyDescent="0.3">
      <c r="A20" s="14" t="s">
        <v>353</v>
      </c>
      <c r="B20" s="14" t="s">
        <v>306</v>
      </c>
      <c r="C20" s="26" t="s">
        <v>266</v>
      </c>
      <c r="D20" s="14">
        <v>2863</v>
      </c>
      <c r="E20" s="14" t="s">
        <v>360</v>
      </c>
      <c r="F20" s="14" t="s">
        <v>197</v>
      </c>
      <c r="G20" s="22">
        <v>46004</v>
      </c>
      <c r="H20" s="22">
        <v>46185</v>
      </c>
      <c r="I20" s="31">
        <v>600</v>
      </c>
      <c r="J20" s="13" t="s">
        <v>632</v>
      </c>
      <c r="K20" s="14" t="s">
        <v>633</v>
      </c>
      <c r="L20" s="17">
        <v>1044.8399999999999</v>
      </c>
      <c r="N20" t="s">
        <v>803</v>
      </c>
    </row>
    <row r="21" spans="1:14" ht="18.75" x14ac:dyDescent="0.3">
      <c r="A21" s="14" t="s">
        <v>353</v>
      </c>
      <c r="B21" s="14" t="s">
        <v>307</v>
      </c>
      <c r="C21" s="26" t="s">
        <v>253</v>
      </c>
      <c r="D21" s="14">
        <v>2873</v>
      </c>
      <c r="E21" s="14" t="s">
        <v>347</v>
      </c>
      <c r="F21" s="14" t="s">
        <v>198</v>
      </c>
      <c r="G21" s="22">
        <v>46043</v>
      </c>
      <c r="H21" s="22">
        <v>46223</v>
      </c>
      <c r="I21" s="31"/>
      <c r="J21" s="13" t="s">
        <v>671</v>
      </c>
      <c r="K21" s="14" t="s">
        <v>672</v>
      </c>
      <c r="L21" s="17">
        <v>1004.91</v>
      </c>
      <c r="N21" t="s">
        <v>673</v>
      </c>
    </row>
    <row r="22" spans="1:14" ht="18.75" x14ac:dyDescent="0.3">
      <c r="A22" s="14" t="s">
        <v>353</v>
      </c>
      <c r="B22" s="14" t="s">
        <v>308</v>
      </c>
      <c r="C22" s="25" t="s">
        <v>250</v>
      </c>
      <c r="D22" s="14">
        <v>2883</v>
      </c>
      <c r="E22" s="14" t="s">
        <v>360</v>
      </c>
      <c r="F22" s="14" t="s">
        <v>199</v>
      </c>
      <c r="G22" s="22">
        <v>46077</v>
      </c>
      <c r="H22" s="22">
        <v>46257</v>
      </c>
      <c r="I22" s="31">
        <v>610</v>
      </c>
      <c r="J22" s="13" t="s">
        <v>722</v>
      </c>
      <c r="K22" s="14" t="s">
        <v>723</v>
      </c>
      <c r="L22" s="17">
        <v>1044.8399999999999</v>
      </c>
      <c r="N22" t="s">
        <v>724</v>
      </c>
    </row>
    <row r="23" spans="1:14" ht="18.75" x14ac:dyDescent="0.3">
      <c r="A23" s="14" t="s">
        <v>354</v>
      </c>
      <c r="B23" s="14" t="s">
        <v>309</v>
      </c>
      <c r="C23" s="25" t="s">
        <v>254</v>
      </c>
      <c r="D23" s="14">
        <v>2901</v>
      </c>
      <c r="E23" s="14" t="s">
        <v>348</v>
      </c>
      <c r="F23" s="14" t="s">
        <v>200</v>
      </c>
      <c r="G23" s="22">
        <v>45963</v>
      </c>
      <c r="H23" s="22">
        <v>46327</v>
      </c>
      <c r="I23" s="31">
        <v>922</v>
      </c>
      <c r="J23" s="13" t="s">
        <v>554</v>
      </c>
      <c r="K23" s="14" t="s">
        <v>555</v>
      </c>
      <c r="L23" s="17">
        <v>642.51</v>
      </c>
    </row>
    <row r="24" spans="1:14" ht="18.75" x14ac:dyDescent="0.3">
      <c r="A24" s="14" t="s">
        <v>355</v>
      </c>
      <c r="B24" s="14" t="s">
        <v>310</v>
      </c>
      <c r="C24" s="26" t="s">
        <v>638</v>
      </c>
      <c r="D24" s="14">
        <v>2903</v>
      </c>
      <c r="E24" s="14" t="s">
        <v>348</v>
      </c>
      <c r="F24" s="14" t="s">
        <v>639</v>
      </c>
      <c r="G24" s="22">
        <v>45984</v>
      </c>
      <c r="H24" s="22">
        <v>46164</v>
      </c>
      <c r="I24" s="31">
        <v>620</v>
      </c>
      <c r="J24" s="13" t="s">
        <v>640</v>
      </c>
      <c r="K24" s="14" t="s">
        <v>641</v>
      </c>
      <c r="L24" s="17">
        <v>642.51</v>
      </c>
    </row>
    <row r="25" spans="1:14" ht="18.75" x14ac:dyDescent="0.3">
      <c r="A25" s="14" t="s">
        <v>355</v>
      </c>
      <c r="B25" s="14" t="s">
        <v>302</v>
      </c>
      <c r="C25" s="25" t="s">
        <v>248</v>
      </c>
      <c r="D25" s="14">
        <v>2922</v>
      </c>
      <c r="E25" s="14" t="s">
        <v>360</v>
      </c>
      <c r="F25" s="14" t="s">
        <v>192</v>
      </c>
      <c r="G25" s="22">
        <v>45963</v>
      </c>
      <c r="H25" s="22">
        <v>46327</v>
      </c>
      <c r="I25" s="31">
        <v>645</v>
      </c>
      <c r="J25" s="13" t="s">
        <v>550</v>
      </c>
      <c r="K25" s="14" t="s">
        <v>551</v>
      </c>
      <c r="L25" s="17">
        <v>949.85</v>
      </c>
    </row>
    <row r="26" spans="1:14" ht="18.75" x14ac:dyDescent="0.3">
      <c r="A26" s="14" t="s">
        <v>353</v>
      </c>
      <c r="B26" s="14" t="s">
        <v>311</v>
      </c>
      <c r="C26" s="26" t="s">
        <v>255</v>
      </c>
      <c r="D26" s="14">
        <v>2926</v>
      </c>
      <c r="E26" s="14" t="s">
        <v>629</v>
      </c>
      <c r="F26" s="14" t="s">
        <v>197</v>
      </c>
      <c r="G26" s="22">
        <v>46003</v>
      </c>
      <c r="H26" s="22">
        <v>46184</v>
      </c>
      <c r="I26" s="31">
        <v>603</v>
      </c>
      <c r="J26" s="13" t="s">
        <v>630</v>
      </c>
      <c r="K26" s="14" t="s">
        <v>631</v>
      </c>
      <c r="L26" s="17">
        <v>706.76</v>
      </c>
    </row>
    <row r="27" spans="1:14" ht="18.75" x14ac:dyDescent="0.3">
      <c r="A27" s="14" t="s">
        <v>353</v>
      </c>
      <c r="B27" s="14" t="s">
        <v>312</v>
      </c>
      <c r="C27" s="26" t="s">
        <v>386</v>
      </c>
      <c r="D27" s="14">
        <v>2973</v>
      </c>
      <c r="E27" s="14" t="s">
        <v>361</v>
      </c>
      <c r="F27" s="14" t="s">
        <v>201</v>
      </c>
      <c r="G27" s="22">
        <v>45866</v>
      </c>
      <c r="H27" s="22">
        <v>46230</v>
      </c>
      <c r="I27" s="31">
        <v>920</v>
      </c>
      <c r="J27" s="13" t="s">
        <v>387</v>
      </c>
      <c r="K27" s="14" t="s">
        <v>476</v>
      </c>
      <c r="L27" s="17">
        <v>847</v>
      </c>
    </row>
    <row r="28" spans="1:14" ht="18.75" x14ac:dyDescent="0.3">
      <c r="A28" s="14" t="s">
        <v>353</v>
      </c>
      <c r="B28" s="14" t="s">
        <v>306</v>
      </c>
      <c r="C28" s="26" t="s">
        <v>266</v>
      </c>
      <c r="D28" s="14">
        <v>2978</v>
      </c>
      <c r="E28" s="14" t="s">
        <v>347</v>
      </c>
      <c r="F28" s="14" t="s">
        <v>453</v>
      </c>
      <c r="G28" s="22">
        <v>45643</v>
      </c>
      <c r="H28" s="22">
        <v>46007</v>
      </c>
      <c r="I28" s="31">
        <v>600</v>
      </c>
      <c r="J28" s="13" t="s">
        <v>178</v>
      </c>
      <c r="K28" s="14">
        <v>391318</v>
      </c>
      <c r="L28" s="17">
        <v>913.55</v>
      </c>
      <c r="M28" t="s">
        <v>452</v>
      </c>
    </row>
    <row r="29" spans="1:14" ht="18.75" x14ac:dyDescent="0.3">
      <c r="A29" s="14" t="s">
        <v>353</v>
      </c>
      <c r="B29" s="14" t="s">
        <v>313</v>
      </c>
      <c r="C29" s="25" t="s">
        <v>257</v>
      </c>
      <c r="D29" s="14">
        <v>2979</v>
      </c>
      <c r="E29" s="14" t="s">
        <v>347</v>
      </c>
      <c r="F29" s="14" t="s">
        <v>202</v>
      </c>
      <c r="G29" s="22">
        <v>45874</v>
      </c>
      <c r="H29" s="22">
        <v>46238</v>
      </c>
      <c r="I29" s="31"/>
      <c r="J29" s="13" t="s">
        <v>406</v>
      </c>
      <c r="K29" s="14" t="s">
        <v>168</v>
      </c>
      <c r="L29" s="17">
        <v>913.55</v>
      </c>
      <c r="M29" t="s">
        <v>402</v>
      </c>
    </row>
    <row r="30" spans="1:14" ht="18.75" x14ac:dyDescent="0.3">
      <c r="A30" s="14" t="s">
        <v>353</v>
      </c>
      <c r="B30" s="14" t="s">
        <v>314</v>
      </c>
      <c r="C30" s="25" t="s">
        <v>258</v>
      </c>
      <c r="D30" s="14">
        <v>2986</v>
      </c>
      <c r="E30" s="14" t="s">
        <v>347</v>
      </c>
      <c r="F30" s="14" t="s">
        <v>193</v>
      </c>
      <c r="G30" s="22">
        <v>46046</v>
      </c>
      <c r="H30" s="22">
        <v>46226</v>
      </c>
      <c r="I30" s="31">
        <v>810</v>
      </c>
      <c r="J30" s="13" t="s">
        <v>648</v>
      </c>
      <c r="K30" s="14" t="s">
        <v>649</v>
      </c>
      <c r="L30" s="17">
        <v>1004.91</v>
      </c>
      <c r="N30" t="s">
        <v>650</v>
      </c>
    </row>
    <row r="31" spans="1:14" ht="18.75" x14ac:dyDescent="0.3">
      <c r="A31" s="14" t="s">
        <v>353</v>
      </c>
      <c r="B31" s="14" t="s">
        <v>315</v>
      </c>
      <c r="C31" s="26" t="s">
        <v>260</v>
      </c>
      <c r="D31" s="14">
        <v>2988</v>
      </c>
      <c r="E31" s="14" t="s">
        <v>347</v>
      </c>
      <c r="F31" s="14" t="s">
        <v>203</v>
      </c>
      <c r="G31" s="22">
        <v>45970</v>
      </c>
      <c r="H31" s="22">
        <v>46334</v>
      </c>
      <c r="I31" s="31">
        <v>681</v>
      </c>
      <c r="J31" s="13" t="s">
        <v>546</v>
      </c>
      <c r="K31" s="14" t="s">
        <v>547</v>
      </c>
      <c r="L31" s="17">
        <v>913.55</v>
      </c>
    </row>
    <row r="32" spans="1:14" ht="18.75" x14ac:dyDescent="0.3">
      <c r="A32" s="14" t="s">
        <v>353</v>
      </c>
      <c r="B32" s="14" t="s">
        <v>294</v>
      </c>
      <c r="C32" s="26" t="s">
        <v>247</v>
      </c>
      <c r="D32" s="14">
        <v>2996</v>
      </c>
      <c r="E32" s="14" t="s">
        <v>349</v>
      </c>
      <c r="F32" s="14" t="s">
        <v>204</v>
      </c>
      <c r="G32" s="22">
        <v>46054</v>
      </c>
      <c r="H32" s="22">
        <v>46234</v>
      </c>
      <c r="I32" s="31">
        <v>810</v>
      </c>
      <c r="J32" s="13" t="s">
        <v>660</v>
      </c>
      <c r="K32" s="14" t="s">
        <v>661</v>
      </c>
      <c r="L32" s="17">
        <v>862.49</v>
      </c>
      <c r="N32" t="s">
        <v>662</v>
      </c>
    </row>
    <row r="33" spans="1:14" ht="18.75" x14ac:dyDescent="0.3">
      <c r="A33" s="14" t="s">
        <v>353</v>
      </c>
      <c r="B33" s="14" t="s">
        <v>316</v>
      </c>
      <c r="C33" s="26" t="s">
        <v>259</v>
      </c>
      <c r="D33" s="14">
        <v>3005</v>
      </c>
      <c r="E33" s="14" t="s">
        <v>348</v>
      </c>
      <c r="F33" s="14" t="s">
        <v>205</v>
      </c>
      <c r="G33" s="22">
        <v>46030</v>
      </c>
      <c r="H33" s="22">
        <v>46210</v>
      </c>
      <c r="I33" s="31">
        <v>920</v>
      </c>
      <c r="J33" s="13" t="s">
        <v>651</v>
      </c>
      <c r="K33" s="14" t="s">
        <v>652</v>
      </c>
      <c r="L33" s="17">
        <v>706.76</v>
      </c>
      <c r="N33" t="s">
        <v>653</v>
      </c>
    </row>
    <row r="34" spans="1:14" ht="18.75" x14ac:dyDescent="0.3">
      <c r="A34" s="14" t="s">
        <v>353</v>
      </c>
      <c r="B34" s="14" t="s">
        <v>317</v>
      </c>
      <c r="C34" s="25" t="s">
        <v>254</v>
      </c>
      <c r="D34" s="14">
        <v>3033</v>
      </c>
      <c r="E34" s="14" t="s">
        <v>349</v>
      </c>
      <c r="F34" s="14" t="s">
        <v>206</v>
      </c>
      <c r="G34" s="22">
        <v>46075</v>
      </c>
      <c r="H34" s="22">
        <v>46255</v>
      </c>
      <c r="I34" s="31">
        <v>922</v>
      </c>
      <c r="J34" s="13" t="s">
        <v>700</v>
      </c>
      <c r="K34" s="14" t="s">
        <v>701</v>
      </c>
      <c r="L34" s="17">
        <v>862.49</v>
      </c>
      <c r="N34" t="s">
        <v>702</v>
      </c>
    </row>
    <row r="35" spans="1:14" ht="18.75" x14ac:dyDescent="0.3">
      <c r="A35" s="14" t="s">
        <v>355</v>
      </c>
      <c r="B35" s="14" t="s">
        <v>294</v>
      </c>
      <c r="C35" s="26" t="s">
        <v>247</v>
      </c>
      <c r="D35" s="14">
        <v>3063</v>
      </c>
      <c r="E35" s="14" t="s">
        <v>360</v>
      </c>
      <c r="F35" s="14" t="s">
        <v>193</v>
      </c>
      <c r="G35" s="22">
        <v>45793</v>
      </c>
      <c r="H35" s="22">
        <v>46157</v>
      </c>
      <c r="I35" s="31">
        <v>810</v>
      </c>
      <c r="J35" s="13" t="s">
        <v>577</v>
      </c>
      <c r="K35" s="14" t="s">
        <v>578</v>
      </c>
      <c r="L35" s="17">
        <v>949.85</v>
      </c>
    </row>
    <row r="36" spans="1:14" ht="18.75" x14ac:dyDescent="0.3">
      <c r="A36" s="14" t="s">
        <v>355</v>
      </c>
      <c r="B36" s="14" t="s">
        <v>307</v>
      </c>
      <c r="C36" s="25" t="s">
        <v>242</v>
      </c>
      <c r="D36" s="14">
        <v>3064</v>
      </c>
      <c r="E36" s="14" t="s">
        <v>360</v>
      </c>
      <c r="F36" s="14" t="s">
        <v>193</v>
      </c>
      <c r="G36" s="22">
        <v>46047</v>
      </c>
      <c r="H36" s="22">
        <v>46227</v>
      </c>
      <c r="I36" s="31">
        <v>810</v>
      </c>
      <c r="J36" s="13" t="s">
        <v>645</v>
      </c>
      <c r="K36" s="14" t="s">
        <v>646</v>
      </c>
      <c r="L36" s="17">
        <v>1044.8399999999999</v>
      </c>
      <c r="N36" t="s">
        <v>647</v>
      </c>
    </row>
    <row r="37" spans="1:14" ht="18.75" x14ac:dyDescent="0.3">
      <c r="A37" s="14" t="s">
        <v>353</v>
      </c>
      <c r="B37" s="14" t="s">
        <v>302</v>
      </c>
      <c r="C37" s="26" t="s">
        <v>260</v>
      </c>
      <c r="D37" s="14">
        <v>3065</v>
      </c>
      <c r="E37" s="14" t="s">
        <v>347</v>
      </c>
      <c r="F37" s="14" t="s">
        <v>207</v>
      </c>
      <c r="G37" s="22">
        <v>46045</v>
      </c>
      <c r="H37" s="22">
        <v>46225</v>
      </c>
      <c r="I37" s="31">
        <v>645</v>
      </c>
      <c r="J37" s="13" t="s">
        <v>674</v>
      </c>
      <c r="K37" s="14" t="s">
        <v>675</v>
      </c>
      <c r="L37" s="17">
        <v>1004.91</v>
      </c>
      <c r="N37" t="s">
        <v>676</v>
      </c>
    </row>
    <row r="38" spans="1:14" ht="18.75" x14ac:dyDescent="0.3">
      <c r="A38" s="14" t="s">
        <v>355</v>
      </c>
      <c r="B38" s="14" t="s">
        <v>298</v>
      </c>
      <c r="C38" s="25" t="s">
        <v>261</v>
      </c>
      <c r="D38" s="14">
        <v>3078</v>
      </c>
      <c r="E38" s="14" t="s">
        <v>348</v>
      </c>
      <c r="F38" s="14" t="s">
        <v>193</v>
      </c>
      <c r="G38" s="22">
        <v>45985</v>
      </c>
      <c r="H38" s="22">
        <v>46349</v>
      </c>
      <c r="I38" s="31">
        <v>810</v>
      </c>
      <c r="J38" s="13" t="s">
        <v>562</v>
      </c>
      <c r="K38" s="14" t="s">
        <v>563</v>
      </c>
      <c r="L38" s="17">
        <v>642.51</v>
      </c>
    </row>
    <row r="39" spans="1:14" ht="18.75" x14ac:dyDescent="0.3">
      <c r="A39" s="14" t="s">
        <v>355</v>
      </c>
      <c r="B39" s="14" t="s">
        <v>318</v>
      </c>
      <c r="C39" s="26" t="s">
        <v>262</v>
      </c>
      <c r="D39" s="14">
        <v>3080</v>
      </c>
      <c r="E39" s="14" t="s">
        <v>348</v>
      </c>
      <c r="F39" s="14" t="s">
        <v>208</v>
      </c>
      <c r="G39" s="22">
        <v>46032</v>
      </c>
      <c r="H39" s="22">
        <v>46212</v>
      </c>
      <c r="I39" s="31">
        <v>926</v>
      </c>
      <c r="J39" s="13" t="s">
        <v>752</v>
      </c>
      <c r="K39" s="14" t="s">
        <v>753</v>
      </c>
      <c r="L39" s="17">
        <v>709.76</v>
      </c>
      <c r="N39" t="s">
        <v>754</v>
      </c>
    </row>
    <row r="40" spans="1:14" ht="18.75" x14ac:dyDescent="0.3">
      <c r="A40" s="14" t="s">
        <v>355</v>
      </c>
      <c r="B40" s="14" t="s">
        <v>304</v>
      </c>
      <c r="C40" s="25" t="s">
        <v>263</v>
      </c>
      <c r="D40" s="14">
        <v>3081</v>
      </c>
      <c r="E40" s="14" t="s">
        <v>348</v>
      </c>
      <c r="F40" s="14" t="s">
        <v>209</v>
      </c>
      <c r="G40" s="22">
        <v>45879</v>
      </c>
      <c r="H40" s="22">
        <v>46243</v>
      </c>
      <c r="I40" s="31">
        <v>620</v>
      </c>
      <c r="J40" s="13" t="s">
        <v>403</v>
      </c>
      <c r="K40" s="14" t="s">
        <v>477</v>
      </c>
      <c r="L40" s="17">
        <v>642.51</v>
      </c>
    </row>
    <row r="41" spans="1:14" ht="18.75" x14ac:dyDescent="0.3">
      <c r="A41" s="14" t="s">
        <v>355</v>
      </c>
      <c r="B41" s="14" t="s">
        <v>308</v>
      </c>
      <c r="C41" s="26" t="s">
        <v>250</v>
      </c>
      <c r="D41" s="14">
        <v>3085</v>
      </c>
      <c r="E41" s="14" t="s">
        <v>348</v>
      </c>
      <c r="F41" s="14" t="s">
        <v>437</v>
      </c>
      <c r="G41" s="22">
        <v>46065</v>
      </c>
      <c r="H41" s="22">
        <v>46245</v>
      </c>
      <c r="I41" s="31">
        <v>610</v>
      </c>
      <c r="J41" s="13" t="s">
        <v>716</v>
      </c>
      <c r="K41" s="14" t="s">
        <v>717</v>
      </c>
      <c r="L41" s="17">
        <v>706.76</v>
      </c>
      <c r="M41" t="s">
        <v>150</v>
      </c>
      <c r="N41" t="s">
        <v>718</v>
      </c>
    </row>
    <row r="42" spans="1:14" ht="18.75" x14ac:dyDescent="0.3">
      <c r="A42" s="14" t="s">
        <v>355</v>
      </c>
      <c r="B42" s="14" t="s">
        <v>299</v>
      </c>
      <c r="C42" s="25" t="s">
        <v>265</v>
      </c>
      <c r="D42" s="14">
        <v>3087</v>
      </c>
      <c r="E42" s="14" t="s">
        <v>348</v>
      </c>
      <c r="F42" s="14" t="s">
        <v>211</v>
      </c>
      <c r="G42" s="22">
        <v>45885</v>
      </c>
      <c r="H42" s="22">
        <v>46249</v>
      </c>
      <c r="I42" s="31">
        <v>632</v>
      </c>
      <c r="J42" s="13" t="s">
        <v>407</v>
      </c>
      <c r="K42" s="14" t="s">
        <v>479</v>
      </c>
      <c r="L42" s="17">
        <v>642.51</v>
      </c>
    </row>
    <row r="43" spans="1:14" ht="18.75" x14ac:dyDescent="0.3">
      <c r="A43" s="14" t="s">
        <v>356</v>
      </c>
      <c r="B43" s="14" t="s">
        <v>320</v>
      </c>
      <c r="C43" s="25" t="s">
        <v>696</v>
      </c>
      <c r="D43" s="14">
        <v>3092</v>
      </c>
      <c r="E43" s="14" t="s">
        <v>347</v>
      </c>
      <c r="F43" s="14" t="s">
        <v>212</v>
      </c>
      <c r="G43" s="22">
        <v>46069</v>
      </c>
      <c r="H43" s="22">
        <v>46249</v>
      </c>
      <c r="I43" s="31">
        <v>810</v>
      </c>
      <c r="J43" s="13" t="s">
        <v>697</v>
      </c>
      <c r="K43" s="14" t="s">
        <v>698</v>
      </c>
      <c r="L43" s="17">
        <v>1004.91</v>
      </c>
      <c r="N43" t="s">
        <v>699</v>
      </c>
    </row>
    <row r="44" spans="1:14" ht="18.75" x14ac:dyDescent="0.3">
      <c r="A44" s="14" t="s">
        <v>356</v>
      </c>
      <c r="B44" s="14" t="s">
        <v>306</v>
      </c>
      <c r="C44" s="25" t="s">
        <v>252</v>
      </c>
      <c r="D44" s="14">
        <v>3094</v>
      </c>
      <c r="E44" s="14">
        <v>1500</v>
      </c>
      <c r="F44" s="14" t="s">
        <v>197</v>
      </c>
      <c r="G44" s="22">
        <v>45808</v>
      </c>
      <c r="H44" s="22">
        <v>46068</v>
      </c>
      <c r="I44" s="31"/>
      <c r="J44" s="13" t="s">
        <v>171</v>
      </c>
      <c r="K44" s="14">
        <v>386650</v>
      </c>
      <c r="L44" s="17">
        <v>698.5</v>
      </c>
    </row>
    <row r="45" spans="1:14" ht="18.75" x14ac:dyDescent="0.3">
      <c r="A45" s="14" t="s">
        <v>356</v>
      </c>
      <c r="B45" s="14" t="s">
        <v>321</v>
      </c>
      <c r="C45" s="26" t="s">
        <v>253</v>
      </c>
      <c r="D45" s="14">
        <v>3095</v>
      </c>
      <c r="E45" s="14" t="s">
        <v>347</v>
      </c>
      <c r="F45" s="14" t="s">
        <v>198</v>
      </c>
      <c r="G45" s="22">
        <v>45929</v>
      </c>
      <c r="H45" s="22">
        <v>46293</v>
      </c>
      <c r="I45" s="31">
        <v>830</v>
      </c>
      <c r="J45" s="13" t="s">
        <v>425</v>
      </c>
      <c r="K45" s="14" t="s">
        <v>480</v>
      </c>
      <c r="L45" s="17">
        <v>913.55</v>
      </c>
    </row>
    <row r="46" spans="1:14" ht="18.75" x14ac:dyDescent="0.3">
      <c r="A46" s="14" t="s">
        <v>355</v>
      </c>
      <c r="B46" s="14" t="s">
        <v>308</v>
      </c>
      <c r="C46" s="25" t="s">
        <v>250</v>
      </c>
      <c r="D46" s="14">
        <v>3098</v>
      </c>
      <c r="E46" s="14" t="s">
        <v>348</v>
      </c>
      <c r="F46" s="14" t="s">
        <v>213</v>
      </c>
      <c r="G46" s="22">
        <v>45929</v>
      </c>
      <c r="H46" s="22">
        <v>46293</v>
      </c>
      <c r="I46" s="31">
        <v>610</v>
      </c>
      <c r="J46" s="13" t="s">
        <v>426</v>
      </c>
      <c r="K46" s="14" t="s">
        <v>481</v>
      </c>
      <c r="L46" s="17">
        <v>642.51</v>
      </c>
    </row>
    <row r="47" spans="1:14" ht="18.75" x14ac:dyDescent="0.3">
      <c r="A47" s="14" t="s">
        <v>355</v>
      </c>
      <c r="B47" s="14" t="s">
        <v>308</v>
      </c>
      <c r="C47" s="25" t="s">
        <v>250</v>
      </c>
      <c r="D47" s="14">
        <v>3101</v>
      </c>
      <c r="E47" s="14" t="s">
        <v>348</v>
      </c>
      <c r="F47" s="14" t="s">
        <v>199</v>
      </c>
      <c r="G47" s="22">
        <v>45942</v>
      </c>
      <c r="H47" s="22">
        <v>46306</v>
      </c>
      <c r="I47" s="31">
        <v>610</v>
      </c>
      <c r="J47" s="13" t="s">
        <v>512</v>
      </c>
      <c r="K47" s="14" t="s">
        <v>513</v>
      </c>
      <c r="L47" s="17">
        <v>642.51</v>
      </c>
      <c r="M47" t="s">
        <v>511</v>
      </c>
    </row>
    <row r="48" spans="1:14" ht="18.75" x14ac:dyDescent="0.3">
      <c r="A48" s="14" t="s">
        <v>355</v>
      </c>
      <c r="B48" s="14" t="s">
        <v>314</v>
      </c>
      <c r="C48" s="25" t="s">
        <v>242</v>
      </c>
      <c r="D48" s="14">
        <v>3103</v>
      </c>
      <c r="E48" s="14">
        <v>1500</v>
      </c>
      <c r="F48" s="14" t="s">
        <v>193</v>
      </c>
      <c r="G48" s="22">
        <v>45812</v>
      </c>
      <c r="H48" s="22">
        <v>45720</v>
      </c>
      <c r="I48" s="31"/>
      <c r="J48" s="13" t="s">
        <v>172</v>
      </c>
      <c r="K48" s="14">
        <v>431556</v>
      </c>
      <c r="L48" s="17">
        <v>584.1</v>
      </c>
    </row>
    <row r="49" spans="1:14" ht="18.75" x14ac:dyDescent="0.3">
      <c r="A49" s="14" t="s">
        <v>355</v>
      </c>
      <c r="B49" s="14" t="s">
        <v>306</v>
      </c>
      <c r="C49" s="25" t="s">
        <v>266</v>
      </c>
      <c r="D49" s="14">
        <v>3105</v>
      </c>
      <c r="E49" s="14" t="s">
        <v>348</v>
      </c>
      <c r="F49" s="14" t="s">
        <v>197</v>
      </c>
      <c r="G49" s="22">
        <v>45944</v>
      </c>
      <c r="H49" s="22">
        <v>46308</v>
      </c>
      <c r="I49" s="31">
        <v>600</v>
      </c>
      <c r="J49" s="13" t="s">
        <v>454</v>
      </c>
      <c r="K49" s="14" t="s">
        <v>482</v>
      </c>
      <c r="L49" s="17">
        <v>642.51</v>
      </c>
    </row>
    <row r="50" spans="1:14" ht="18.75" x14ac:dyDescent="0.3">
      <c r="A50" s="14" t="s">
        <v>356</v>
      </c>
      <c r="B50" s="14" t="s">
        <v>508</v>
      </c>
      <c r="C50" s="25" t="s">
        <v>267</v>
      </c>
      <c r="D50" s="14">
        <v>3107</v>
      </c>
      <c r="E50" s="14" t="s">
        <v>347</v>
      </c>
      <c r="F50" s="14" t="s">
        <v>214</v>
      </c>
      <c r="G50" s="22">
        <v>45946</v>
      </c>
      <c r="H50" s="22">
        <v>46313</v>
      </c>
      <c r="I50" s="31">
        <v>990</v>
      </c>
      <c r="J50" s="13" t="s">
        <v>509</v>
      </c>
      <c r="K50" s="14" t="s">
        <v>510</v>
      </c>
      <c r="L50" s="17">
        <v>913.55</v>
      </c>
    </row>
    <row r="51" spans="1:14" ht="18.75" x14ac:dyDescent="0.3">
      <c r="A51" s="14" t="s">
        <v>356</v>
      </c>
      <c r="B51" s="14" t="s">
        <v>302</v>
      </c>
      <c r="C51" s="26" t="s">
        <v>260</v>
      </c>
      <c r="D51" s="14">
        <v>3109</v>
      </c>
      <c r="E51" s="14" t="s">
        <v>347</v>
      </c>
      <c r="F51" s="14" t="s">
        <v>215</v>
      </c>
      <c r="G51" s="22">
        <v>45985</v>
      </c>
      <c r="H51" s="22">
        <v>46349</v>
      </c>
      <c r="I51" s="31">
        <v>645</v>
      </c>
      <c r="J51" s="13" t="s">
        <v>558</v>
      </c>
      <c r="K51" s="14" t="s">
        <v>559</v>
      </c>
      <c r="L51" s="17">
        <v>913.55</v>
      </c>
    </row>
    <row r="52" spans="1:14" ht="18.75" x14ac:dyDescent="0.3">
      <c r="A52" s="14" t="s">
        <v>355</v>
      </c>
      <c r="B52" s="14" t="s">
        <v>295</v>
      </c>
      <c r="C52" s="25" t="s">
        <v>242</v>
      </c>
      <c r="D52" s="14">
        <v>3115</v>
      </c>
      <c r="E52" s="14" t="s">
        <v>348</v>
      </c>
      <c r="F52" s="14" t="s">
        <v>193</v>
      </c>
      <c r="G52" s="22">
        <v>45927</v>
      </c>
      <c r="H52" s="22">
        <v>46107</v>
      </c>
      <c r="I52" s="31">
        <v>810</v>
      </c>
      <c r="J52" s="13" t="s">
        <v>424</v>
      </c>
      <c r="K52" s="14" t="s">
        <v>483</v>
      </c>
      <c r="L52" s="17">
        <v>642.51</v>
      </c>
    </row>
    <row r="53" spans="1:14" ht="18.75" x14ac:dyDescent="0.3">
      <c r="A53" s="14" t="s">
        <v>357</v>
      </c>
      <c r="B53" s="14" t="s">
        <v>300</v>
      </c>
      <c r="C53" s="25" t="s">
        <v>268</v>
      </c>
      <c r="D53" s="14">
        <v>3120</v>
      </c>
      <c r="E53" s="14" t="s">
        <v>347</v>
      </c>
      <c r="F53" s="14" t="s">
        <v>216</v>
      </c>
      <c r="G53" s="22">
        <v>45927</v>
      </c>
      <c r="H53" s="22">
        <v>46107</v>
      </c>
      <c r="I53" s="31">
        <v>920</v>
      </c>
      <c r="J53" s="13" t="s">
        <v>427</v>
      </c>
      <c r="K53" s="14" t="s">
        <v>484</v>
      </c>
      <c r="L53" s="17">
        <v>913.55</v>
      </c>
    </row>
    <row r="54" spans="1:14" ht="18.75" x14ac:dyDescent="0.3">
      <c r="A54" s="14" t="s">
        <v>356</v>
      </c>
      <c r="B54" s="14" t="s">
        <v>302</v>
      </c>
      <c r="C54" s="26" t="s">
        <v>260</v>
      </c>
      <c r="D54" s="14">
        <v>3127</v>
      </c>
      <c r="E54" s="14" t="s">
        <v>348</v>
      </c>
      <c r="F54" s="14" t="s">
        <v>207</v>
      </c>
      <c r="G54" s="22">
        <v>45818</v>
      </c>
      <c r="H54" s="22">
        <v>46153</v>
      </c>
      <c r="I54" s="31">
        <v>646</v>
      </c>
      <c r="J54" s="13" t="s">
        <v>587</v>
      </c>
      <c r="K54" s="14" t="s">
        <v>588</v>
      </c>
      <c r="L54" s="17">
        <v>642.51</v>
      </c>
    </row>
    <row r="55" spans="1:14" ht="18.75" x14ac:dyDescent="0.3">
      <c r="A55" s="14" t="s">
        <v>356</v>
      </c>
      <c r="B55" s="14" t="s">
        <v>322</v>
      </c>
      <c r="C55" s="25" t="s">
        <v>269</v>
      </c>
      <c r="D55" s="14">
        <v>3129</v>
      </c>
      <c r="E55" s="14">
        <v>1500</v>
      </c>
      <c r="F55" s="14" t="s">
        <v>217</v>
      </c>
      <c r="G55" s="22">
        <v>45819</v>
      </c>
      <c r="H55" s="22">
        <v>46003</v>
      </c>
      <c r="I55" s="31"/>
      <c r="J55" s="13" t="s">
        <v>173</v>
      </c>
      <c r="K55" s="14">
        <v>389017</v>
      </c>
      <c r="L55" s="17">
        <v>712.8</v>
      </c>
    </row>
    <row r="56" spans="1:14" ht="18.75" x14ac:dyDescent="0.3">
      <c r="A56" s="14" t="s">
        <v>355</v>
      </c>
      <c r="B56" s="14" t="s">
        <v>316</v>
      </c>
      <c r="C56" s="25" t="s">
        <v>270</v>
      </c>
      <c r="D56" s="14">
        <v>3131</v>
      </c>
      <c r="E56" s="14" t="s">
        <v>348</v>
      </c>
      <c r="F56" s="14" t="s">
        <v>218</v>
      </c>
      <c r="G56" s="22">
        <v>45919</v>
      </c>
      <c r="H56" s="22">
        <v>46283</v>
      </c>
      <c r="I56" s="31">
        <v>999</v>
      </c>
      <c r="J56" s="13" t="s">
        <v>450</v>
      </c>
      <c r="K56" s="14" t="s">
        <v>485</v>
      </c>
      <c r="L56" s="17">
        <v>642.51</v>
      </c>
    </row>
    <row r="57" spans="1:14" ht="18.75" x14ac:dyDescent="0.3">
      <c r="A57" s="14" t="s">
        <v>355</v>
      </c>
      <c r="B57" s="14" t="s">
        <v>308</v>
      </c>
      <c r="C57" s="25" t="s">
        <v>250</v>
      </c>
      <c r="D57" s="14">
        <v>3132</v>
      </c>
      <c r="E57" s="14" t="s">
        <v>348</v>
      </c>
      <c r="F57" s="14" t="s">
        <v>212</v>
      </c>
      <c r="G57" s="22">
        <v>45890</v>
      </c>
      <c r="H57" s="22">
        <v>46254</v>
      </c>
      <c r="I57" s="31">
        <v>610</v>
      </c>
      <c r="J57" s="13" t="s">
        <v>409</v>
      </c>
      <c r="K57" s="14">
        <v>332963</v>
      </c>
      <c r="L57" s="17">
        <v>642.51</v>
      </c>
    </row>
    <row r="58" spans="1:14" ht="18.75" x14ac:dyDescent="0.3">
      <c r="A58" s="14" t="s">
        <v>355</v>
      </c>
      <c r="B58" s="14" t="s">
        <v>323</v>
      </c>
      <c r="C58" s="25" t="s">
        <v>264</v>
      </c>
      <c r="D58" s="14">
        <v>3135</v>
      </c>
      <c r="E58" s="14" t="s">
        <v>348</v>
      </c>
      <c r="F58" s="14" t="s">
        <v>210</v>
      </c>
      <c r="G58" s="22">
        <v>45873</v>
      </c>
      <c r="H58" s="22">
        <v>46237</v>
      </c>
      <c r="I58" s="31">
        <v>860</v>
      </c>
      <c r="J58" s="13" t="s">
        <v>417</v>
      </c>
      <c r="K58" s="14" t="s">
        <v>486</v>
      </c>
      <c r="L58" s="17">
        <v>642.51</v>
      </c>
    </row>
    <row r="59" spans="1:14" ht="18.75" x14ac:dyDescent="0.3">
      <c r="A59" s="14" t="s">
        <v>355</v>
      </c>
      <c r="B59" s="14" t="s">
        <v>308</v>
      </c>
      <c r="C59" s="25" t="s">
        <v>250</v>
      </c>
      <c r="D59" s="14">
        <v>3136</v>
      </c>
      <c r="E59" s="14" t="s">
        <v>348</v>
      </c>
      <c r="F59" s="14" t="s">
        <v>213</v>
      </c>
      <c r="G59" s="22">
        <v>46050</v>
      </c>
      <c r="H59" s="22">
        <v>46230</v>
      </c>
      <c r="I59" s="31">
        <v>610</v>
      </c>
      <c r="J59" s="13" t="s">
        <v>654</v>
      </c>
      <c r="K59" s="14" t="s">
        <v>655</v>
      </c>
      <c r="L59" s="17">
        <v>706.76</v>
      </c>
      <c r="N59" t="s">
        <v>656</v>
      </c>
    </row>
    <row r="60" spans="1:14" ht="18.75" x14ac:dyDescent="0.3">
      <c r="A60" s="14" t="s">
        <v>355</v>
      </c>
      <c r="B60" s="14" t="s">
        <v>319</v>
      </c>
      <c r="C60" s="25" t="s">
        <v>271</v>
      </c>
      <c r="D60" s="14">
        <v>3138</v>
      </c>
      <c r="E60" s="14" t="s">
        <v>348</v>
      </c>
      <c r="F60" s="14" t="s">
        <v>210</v>
      </c>
      <c r="G60" s="22">
        <v>45874</v>
      </c>
      <c r="H60" s="22">
        <v>46238</v>
      </c>
      <c r="I60" s="31">
        <v>640</v>
      </c>
      <c r="J60" s="13" t="s">
        <v>418</v>
      </c>
      <c r="K60" s="14" t="s">
        <v>487</v>
      </c>
      <c r="L60" s="17">
        <v>642.51</v>
      </c>
    </row>
    <row r="61" spans="1:14" ht="18.75" x14ac:dyDescent="0.3">
      <c r="A61" s="14" t="s">
        <v>356</v>
      </c>
      <c r="B61" s="14" t="s">
        <v>321</v>
      </c>
      <c r="C61" s="26" t="s">
        <v>253</v>
      </c>
      <c r="D61" s="14">
        <v>3140</v>
      </c>
      <c r="E61" s="14" t="s">
        <v>347</v>
      </c>
      <c r="F61" s="14" t="s">
        <v>198</v>
      </c>
      <c r="G61" s="22">
        <v>45949</v>
      </c>
      <c r="H61" s="22">
        <v>46313</v>
      </c>
      <c r="I61" s="31">
        <v>830</v>
      </c>
      <c r="J61" s="13" t="s">
        <v>498</v>
      </c>
      <c r="K61" s="14" t="s">
        <v>499</v>
      </c>
      <c r="L61" s="17">
        <v>913.55</v>
      </c>
    </row>
    <row r="62" spans="1:14" ht="18.75" x14ac:dyDescent="0.3">
      <c r="A62" s="14" t="s">
        <v>356</v>
      </c>
      <c r="B62" s="14" t="s">
        <v>314</v>
      </c>
      <c r="C62" s="26" t="s">
        <v>247</v>
      </c>
      <c r="D62" s="14">
        <v>3142</v>
      </c>
      <c r="E62" s="14" t="s">
        <v>347</v>
      </c>
      <c r="F62" s="14" t="s">
        <v>193</v>
      </c>
      <c r="G62" s="22">
        <v>45827</v>
      </c>
      <c r="H62" s="22">
        <v>46193</v>
      </c>
      <c r="I62" s="31">
        <v>810</v>
      </c>
      <c r="J62" s="13" t="s">
        <v>594</v>
      </c>
      <c r="K62" s="14" t="s">
        <v>595</v>
      </c>
      <c r="L62" s="17">
        <v>913.55</v>
      </c>
    </row>
    <row r="63" spans="1:14" ht="18.75" x14ac:dyDescent="0.3">
      <c r="A63" s="14" t="s">
        <v>356</v>
      </c>
      <c r="B63" s="14" t="s">
        <v>302</v>
      </c>
      <c r="C63" s="26" t="s">
        <v>260</v>
      </c>
      <c r="D63" s="14">
        <v>3147</v>
      </c>
      <c r="E63" s="14" t="s">
        <v>347</v>
      </c>
      <c r="F63" s="14" t="s">
        <v>188</v>
      </c>
      <c r="G63" s="22">
        <v>46037</v>
      </c>
      <c r="H63" s="22">
        <v>46217</v>
      </c>
      <c r="I63" s="31">
        <v>645</v>
      </c>
      <c r="J63" s="13" t="s">
        <v>642</v>
      </c>
      <c r="K63" s="14" t="s">
        <v>643</v>
      </c>
      <c r="L63" s="17">
        <v>913.55</v>
      </c>
    </row>
    <row r="64" spans="1:14" ht="18.75" x14ac:dyDescent="0.3">
      <c r="A64" s="14" t="s">
        <v>356</v>
      </c>
      <c r="B64" s="14" t="s">
        <v>324</v>
      </c>
      <c r="C64" s="25" t="s">
        <v>272</v>
      </c>
      <c r="D64" s="14">
        <v>3149</v>
      </c>
      <c r="E64" s="14" t="s">
        <v>347</v>
      </c>
      <c r="F64" s="14" t="s">
        <v>208</v>
      </c>
      <c r="G64" s="22">
        <v>46004</v>
      </c>
      <c r="H64" s="22">
        <v>46185</v>
      </c>
      <c r="I64" s="31">
        <v>926</v>
      </c>
      <c r="J64" s="13" t="s">
        <v>609</v>
      </c>
      <c r="K64" s="14" t="s">
        <v>610</v>
      </c>
      <c r="L64" s="17">
        <v>913.55</v>
      </c>
    </row>
    <row r="65" spans="1:14" ht="18.75" x14ac:dyDescent="0.3">
      <c r="A65" s="14" t="s">
        <v>356</v>
      </c>
      <c r="B65" s="14" t="s">
        <v>302</v>
      </c>
      <c r="C65" s="26" t="s">
        <v>260</v>
      </c>
      <c r="D65" s="14">
        <v>3153</v>
      </c>
      <c r="E65" s="14" t="s">
        <v>347</v>
      </c>
      <c r="F65" s="14" t="s">
        <v>188</v>
      </c>
      <c r="G65" s="22">
        <v>46043</v>
      </c>
      <c r="H65" s="22">
        <v>46223</v>
      </c>
      <c r="I65" s="31">
        <v>633</v>
      </c>
      <c r="J65" s="13" t="s">
        <v>617</v>
      </c>
      <c r="K65" s="14" t="s">
        <v>618</v>
      </c>
      <c r="L65" s="17">
        <v>913.55</v>
      </c>
    </row>
    <row r="66" spans="1:14" ht="18.75" x14ac:dyDescent="0.3">
      <c r="A66" s="14" t="s">
        <v>356</v>
      </c>
      <c r="B66" s="14" t="s">
        <v>306</v>
      </c>
      <c r="C66" s="26" t="s">
        <v>255</v>
      </c>
      <c r="D66" s="14">
        <v>3154</v>
      </c>
      <c r="E66" s="14" t="s">
        <v>347</v>
      </c>
      <c r="F66" s="14" t="s">
        <v>197</v>
      </c>
      <c r="G66" s="22">
        <v>46006</v>
      </c>
      <c r="H66" s="22">
        <v>46187</v>
      </c>
      <c r="I66" s="31">
        <v>600</v>
      </c>
      <c r="J66" s="13" t="s">
        <v>605</v>
      </c>
      <c r="K66" s="14" t="s">
        <v>606</v>
      </c>
      <c r="L66" s="17">
        <v>913.55</v>
      </c>
    </row>
    <row r="67" spans="1:14" ht="18.75" x14ac:dyDescent="0.3">
      <c r="A67" s="14" t="s">
        <v>355</v>
      </c>
      <c r="B67" s="14" t="s">
        <v>328</v>
      </c>
      <c r="C67" s="26" t="s">
        <v>280</v>
      </c>
      <c r="D67" s="14">
        <v>3163</v>
      </c>
      <c r="E67" s="14" t="s">
        <v>360</v>
      </c>
      <c r="F67" s="14" t="s">
        <v>185</v>
      </c>
      <c r="G67" s="22">
        <v>46064</v>
      </c>
      <c r="H67" s="22">
        <v>46244</v>
      </c>
      <c r="I67" s="31">
        <v>805</v>
      </c>
      <c r="J67" s="13" t="s">
        <v>719</v>
      </c>
      <c r="K67" s="14" t="s">
        <v>720</v>
      </c>
      <c r="L67" s="17">
        <v>1044.8399999999999</v>
      </c>
      <c r="N67" t="s">
        <v>721</v>
      </c>
    </row>
    <row r="68" spans="1:14" ht="18.75" x14ac:dyDescent="0.3">
      <c r="A68" s="14" t="s">
        <v>356</v>
      </c>
      <c r="B68" s="14" t="s">
        <v>326</v>
      </c>
      <c r="C68" s="25" t="s">
        <v>274</v>
      </c>
      <c r="D68" s="14">
        <v>3166</v>
      </c>
      <c r="E68" s="14" t="s">
        <v>350</v>
      </c>
      <c r="F68" s="14" t="s">
        <v>193</v>
      </c>
      <c r="G68" s="22">
        <v>45833</v>
      </c>
      <c r="H68" s="22">
        <v>46091</v>
      </c>
      <c r="I68" s="31"/>
      <c r="J68" s="13" t="s">
        <v>174</v>
      </c>
      <c r="K68" s="14">
        <v>391485</v>
      </c>
      <c r="L68" s="17">
        <v>913.55</v>
      </c>
    </row>
    <row r="69" spans="1:14" ht="18.75" x14ac:dyDescent="0.3">
      <c r="A69" s="14" t="s">
        <v>355</v>
      </c>
      <c r="B69" s="14" t="s">
        <v>304</v>
      </c>
      <c r="C69" s="26" t="s">
        <v>276</v>
      </c>
      <c r="D69" s="14">
        <v>3168</v>
      </c>
      <c r="E69" s="14" t="s">
        <v>347</v>
      </c>
      <c r="F69" s="14" t="s">
        <v>408</v>
      </c>
      <c r="G69" s="22">
        <v>46092</v>
      </c>
      <c r="H69" s="22">
        <v>46275</v>
      </c>
      <c r="I69" s="31">
        <v>620</v>
      </c>
      <c r="J69" s="13" t="s">
        <v>804</v>
      </c>
      <c r="K69" s="14" t="s">
        <v>582</v>
      </c>
      <c r="L69" s="17">
        <v>1004.91</v>
      </c>
      <c r="N69" t="s">
        <v>805</v>
      </c>
    </row>
    <row r="70" spans="1:14" ht="18.75" x14ac:dyDescent="0.3">
      <c r="A70" s="14" t="s">
        <v>353</v>
      </c>
      <c r="B70" s="14" t="s">
        <v>304</v>
      </c>
      <c r="C70" s="25" t="s">
        <v>275</v>
      </c>
      <c r="D70" s="14">
        <v>3169</v>
      </c>
      <c r="E70" s="14" t="s">
        <v>347</v>
      </c>
      <c r="F70" s="14" t="s">
        <v>217</v>
      </c>
      <c r="G70" s="22">
        <v>46081</v>
      </c>
      <c r="H70" s="22">
        <v>46261</v>
      </c>
      <c r="I70" s="31">
        <v>620</v>
      </c>
      <c r="J70" s="13" t="s">
        <v>766</v>
      </c>
      <c r="K70" s="14" t="s">
        <v>767</v>
      </c>
      <c r="L70" s="17">
        <v>1004.91</v>
      </c>
      <c r="N70" t="s">
        <v>768</v>
      </c>
    </row>
    <row r="71" spans="1:14" ht="18.75" x14ac:dyDescent="0.3">
      <c r="A71" s="14" t="s">
        <v>356</v>
      </c>
      <c r="B71" s="14" t="s">
        <v>300</v>
      </c>
      <c r="C71" s="26" t="s">
        <v>276</v>
      </c>
      <c r="D71" s="14">
        <v>3170</v>
      </c>
      <c r="E71" s="14" t="s">
        <v>347</v>
      </c>
      <c r="F71" s="14" t="s">
        <v>219</v>
      </c>
      <c r="G71" s="22">
        <v>45790</v>
      </c>
      <c r="H71" s="22">
        <v>46154</v>
      </c>
      <c r="I71" s="31">
        <v>850</v>
      </c>
      <c r="J71" s="13" t="s">
        <v>573</v>
      </c>
      <c r="K71" s="14" t="s">
        <v>574</v>
      </c>
      <c r="L71" s="17">
        <v>913.55</v>
      </c>
    </row>
    <row r="72" spans="1:14" ht="18.75" x14ac:dyDescent="0.3">
      <c r="A72" s="14" t="s">
        <v>356</v>
      </c>
      <c r="B72" s="14" t="s">
        <v>294</v>
      </c>
      <c r="C72" s="26" t="s">
        <v>502</v>
      </c>
      <c r="D72" s="14">
        <v>3178</v>
      </c>
      <c r="E72" s="14" t="s">
        <v>347</v>
      </c>
      <c r="F72" s="14" t="s">
        <v>193</v>
      </c>
      <c r="G72" s="22">
        <v>45934</v>
      </c>
      <c r="H72" s="22">
        <v>46298</v>
      </c>
      <c r="I72" s="31">
        <v>816</v>
      </c>
      <c r="J72" s="13" t="s">
        <v>503</v>
      </c>
      <c r="K72" s="14" t="s">
        <v>504</v>
      </c>
      <c r="L72" s="17">
        <v>913.55</v>
      </c>
      <c r="M72" t="s">
        <v>150</v>
      </c>
    </row>
    <row r="73" spans="1:14" ht="18.75" x14ac:dyDescent="0.3">
      <c r="A73" s="14" t="s">
        <v>356</v>
      </c>
      <c r="B73" s="14" t="s">
        <v>318</v>
      </c>
      <c r="C73" s="26" t="s">
        <v>262</v>
      </c>
      <c r="D73" s="14">
        <v>3186</v>
      </c>
      <c r="E73" s="14" t="s">
        <v>347</v>
      </c>
      <c r="F73" s="14" t="s">
        <v>779</v>
      </c>
      <c r="G73" s="22">
        <v>46079</v>
      </c>
      <c r="H73" s="22">
        <v>46259</v>
      </c>
      <c r="I73" s="31">
        <v>926</v>
      </c>
      <c r="J73" s="13" t="s">
        <v>780</v>
      </c>
      <c r="K73" s="14" t="s">
        <v>781</v>
      </c>
      <c r="L73" s="17">
        <v>1004.91</v>
      </c>
      <c r="N73" t="s">
        <v>782</v>
      </c>
    </row>
    <row r="74" spans="1:14" ht="18.75" x14ac:dyDescent="0.3">
      <c r="A74" s="14" t="s">
        <v>356</v>
      </c>
      <c r="B74" s="14" t="s">
        <v>304</v>
      </c>
      <c r="C74" s="25" t="s">
        <v>275</v>
      </c>
      <c r="D74" s="14">
        <v>3195</v>
      </c>
      <c r="E74" s="14" t="s">
        <v>347</v>
      </c>
      <c r="F74" s="14" t="s">
        <v>189</v>
      </c>
      <c r="G74" s="22">
        <v>45840</v>
      </c>
      <c r="H74" s="22">
        <v>46172</v>
      </c>
      <c r="I74" s="31">
        <v>620</v>
      </c>
      <c r="J74" s="13" t="s">
        <v>363</v>
      </c>
      <c r="K74" s="14">
        <v>26335</v>
      </c>
      <c r="L74" s="17">
        <v>913.55</v>
      </c>
    </row>
    <row r="75" spans="1:14" ht="18.75" x14ac:dyDescent="0.3">
      <c r="A75" s="14" t="s">
        <v>356</v>
      </c>
      <c r="B75" s="14" t="s">
        <v>300</v>
      </c>
      <c r="C75" s="26" t="s">
        <v>247</v>
      </c>
      <c r="D75" s="14">
        <v>3196</v>
      </c>
      <c r="E75" s="14" t="s">
        <v>348</v>
      </c>
      <c r="F75" s="14" t="s">
        <v>220</v>
      </c>
      <c r="G75" s="22">
        <v>45993</v>
      </c>
      <c r="H75" s="22">
        <v>46174</v>
      </c>
      <c r="I75" s="31">
        <v>830</v>
      </c>
      <c r="J75" s="13" t="s">
        <v>760</v>
      </c>
      <c r="K75" s="14" t="s">
        <v>761</v>
      </c>
      <c r="L75" s="17">
        <v>706.76</v>
      </c>
      <c r="N75" t="s">
        <v>762</v>
      </c>
    </row>
    <row r="76" spans="1:14" ht="18.75" x14ac:dyDescent="0.3">
      <c r="A76" s="14" t="s">
        <v>356</v>
      </c>
      <c r="B76" s="14" t="s">
        <v>328</v>
      </c>
      <c r="C76" s="26" t="s">
        <v>278</v>
      </c>
      <c r="D76" s="14">
        <v>3198</v>
      </c>
      <c r="E76" s="14" t="s">
        <v>347</v>
      </c>
      <c r="F76" s="14" t="s">
        <v>221</v>
      </c>
      <c r="G76" s="22">
        <v>45962</v>
      </c>
      <c r="H76" s="22">
        <v>46326</v>
      </c>
      <c r="I76" s="31">
        <v>805</v>
      </c>
      <c r="J76" s="13" t="s">
        <v>532</v>
      </c>
      <c r="K76" s="14" t="s">
        <v>533</v>
      </c>
      <c r="L76" s="17">
        <v>913.55</v>
      </c>
    </row>
    <row r="77" spans="1:14" ht="18.75" x14ac:dyDescent="0.3">
      <c r="A77" s="14" t="s">
        <v>356</v>
      </c>
      <c r="B77" s="14" t="s">
        <v>329</v>
      </c>
      <c r="C77" s="25" t="s">
        <v>240</v>
      </c>
      <c r="D77" s="14">
        <v>3203</v>
      </c>
      <c r="E77" s="14" t="s">
        <v>348</v>
      </c>
      <c r="F77" s="14" t="s">
        <v>221</v>
      </c>
      <c r="G77" s="22">
        <v>45825</v>
      </c>
      <c r="H77" s="22">
        <v>46189</v>
      </c>
      <c r="I77" s="31">
        <v>950</v>
      </c>
      <c r="J77" s="13" t="s">
        <v>414</v>
      </c>
      <c r="K77" s="14" t="s">
        <v>488</v>
      </c>
      <c r="L77" s="17">
        <v>642.51</v>
      </c>
    </row>
    <row r="78" spans="1:14" ht="18.75" x14ac:dyDescent="0.3">
      <c r="A78" s="14" t="s">
        <v>356</v>
      </c>
      <c r="B78" s="14" t="s">
        <v>302</v>
      </c>
      <c r="C78" s="25" t="s">
        <v>245</v>
      </c>
      <c r="D78" s="14">
        <v>3208</v>
      </c>
      <c r="E78" s="14" t="s">
        <v>347</v>
      </c>
      <c r="F78" s="14" t="s">
        <v>188</v>
      </c>
      <c r="G78" s="22">
        <v>46013</v>
      </c>
      <c r="H78" s="22">
        <v>46194</v>
      </c>
      <c r="I78" s="31">
        <v>633</v>
      </c>
      <c r="J78" s="13" t="s">
        <v>677</v>
      </c>
      <c r="K78" s="14" t="s">
        <v>678</v>
      </c>
      <c r="L78" s="17">
        <v>1004.91</v>
      </c>
      <c r="N78" t="s">
        <v>679</v>
      </c>
    </row>
    <row r="79" spans="1:14" ht="18.75" x14ac:dyDescent="0.3">
      <c r="A79" s="14" t="s">
        <v>356</v>
      </c>
      <c r="B79" s="14" t="s">
        <v>326</v>
      </c>
      <c r="C79" s="26" t="s">
        <v>243</v>
      </c>
      <c r="D79" s="14">
        <v>3213</v>
      </c>
      <c r="E79" s="14" t="s">
        <v>347</v>
      </c>
      <c r="F79" s="14" t="s">
        <v>193</v>
      </c>
      <c r="G79" s="22">
        <v>45845</v>
      </c>
      <c r="H79" s="22">
        <v>46193</v>
      </c>
      <c r="I79" s="31">
        <v>810</v>
      </c>
      <c r="J79" s="13" t="s">
        <v>591</v>
      </c>
      <c r="K79" s="14" t="s">
        <v>592</v>
      </c>
      <c r="L79" s="17">
        <v>913.55</v>
      </c>
    </row>
    <row r="80" spans="1:14" ht="18.75" x14ac:dyDescent="0.3">
      <c r="A80" s="14" t="s">
        <v>356</v>
      </c>
      <c r="B80" s="14" t="s">
        <v>302</v>
      </c>
      <c r="C80" s="26" t="s">
        <v>260</v>
      </c>
      <c r="D80" s="14">
        <v>3218</v>
      </c>
      <c r="E80" s="14" t="s">
        <v>367</v>
      </c>
      <c r="F80" s="14" t="s">
        <v>207</v>
      </c>
      <c r="G80" s="22">
        <v>46028</v>
      </c>
      <c r="H80" s="22">
        <v>46208</v>
      </c>
      <c r="I80" s="31">
        <v>645</v>
      </c>
      <c r="J80" s="13" t="s">
        <v>627</v>
      </c>
      <c r="K80" s="14" t="s">
        <v>628</v>
      </c>
      <c r="L80" s="17">
        <v>756.25</v>
      </c>
    </row>
    <row r="81" spans="1:14" ht="18.75" x14ac:dyDescent="0.3">
      <c r="A81" s="14" t="s">
        <v>356</v>
      </c>
      <c r="B81" s="14" t="s">
        <v>313</v>
      </c>
      <c r="C81" s="25" t="s">
        <v>257</v>
      </c>
      <c r="D81" s="14">
        <v>3221</v>
      </c>
      <c r="E81" s="14" t="s">
        <v>347</v>
      </c>
      <c r="F81" s="14" t="s">
        <v>202</v>
      </c>
      <c r="G81" s="22">
        <v>45847</v>
      </c>
      <c r="H81" s="22">
        <v>46217</v>
      </c>
      <c r="I81" s="31">
        <v>920</v>
      </c>
      <c r="J81" s="13" t="s">
        <v>388</v>
      </c>
      <c r="K81" s="14" t="s">
        <v>489</v>
      </c>
      <c r="L81" s="17">
        <v>913.55</v>
      </c>
    </row>
    <row r="82" spans="1:14" ht="18.75" x14ac:dyDescent="0.3">
      <c r="A82" s="14" t="s">
        <v>356</v>
      </c>
      <c r="B82" s="14" t="s">
        <v>326</v>
      </c>
      <c r="C82" s="26" t="s">
        <v>277</v>
      </c>
      <c r="D82" s="14">
        <v>3233</v>
      </c>
      <c r="E82" s="14" t="s">
        <v>347</v>
      </c>
      <c r="F82" s="14" t="s">
        <v>193</v>
      </c>
      <c r="G82" s="22">
        <v>45848</v>
      </c>
      <c r="H82" s="22">
        <v>46100</v>
      </c>
      <c r="I82" s="31">
        <v>810</v>
      </c>
      <c r="J82" s="13" t="s">
        <v>366</v>
      </c>
      <c r="K82" s="14">
        <v>23072</v>
      </c>
      <c r="L82" s="17">
        <v>913.55</v>
      </c>
    </row>
    <row r="83" spans="1:14" ht="18.75" x14ac:dyDescent="0.3">
      <c r="A83" s="14" t="s">
        <v>356</v>
      </c>
      <c r="B83" s="14" t="s">
        <v>299</v>
      </c>
      <c r="C83" s="26" t="s">
        <v>249</v>
      </c>
      <c r="D83" s="14">
        <v>3234</v>
      </c>
      <c r="E83" s="14" t="s">
        <v>347</v>
      </c>
      <c r="F83" s="14" t="s">
        <v>445</v>
      </c>
      <c r="G83" s="22">
        <v>45895</v>
      </c>
      <c r="H83" s="22">
        <v>46078</v>
      </c>
      <c r="I83" s="31">
        <v>640</v>
      </c>
      <c r="J83" s="13" t="s">
        <v>446</v>
      </c>
      <c r="K83" s="14" t="s">
        <v>490</v>
      </c>
      <c r="L83" s="17">
        <v>913.55</v>
      </c>
    </row>
    <row r="84" spans="1:14" ht="18.75" x14ac:dyDescent="0.3">
      <c r="A84" s="14" t="s">
        <v>356</v>
      </c>
      <c r="B84" s="14" t="s">
        <v>301</v>
      </c>
      <c r="C84" s="26" t="s">
        <v>278</v>
      </c>
      <c r="D84" s="14">
        <v>3266</v>
      </c>
      <c r="E84" s="14" t="s">
        <v>367</v>
      </c>
      <c r="F84" s="14" t="s">
        <v>201</v>
      </c>
      <c r="G84" s="22">
        <v>46073</v>
      </c>
      <c r="H84" s="22">
        <v>46253</v>
      </c>
      <c r="I84" s="31">
        <v>620</v>
      </c>
      <c r="J84" s="13" t="s">
        <v>686</v>
      </c>
      <c r="K84" s="14" t="s">
        <v>687</v>
      </c>
      <c r="L84" s="17">
        <v>931.7</v>
      </c>
      <c r="N84" t="s">
        <v>688</v>
      </c>
    </row>
    <row r="85" spans="1:14" ht="18.75" x14ac:dyDescent="0.3">
      <c r="A85" s="14" t="s">
        <v>355</v>
      </c>
      <c r="B85" s="14" t="s">
        <v>330</v>
      </c>
      <c r="C85" s="26" t="s">
        <v>260</v>
      </c>
      <c r="D85" s="14">
        <v>3268</v>
      </c>
      <c r="E85" s="14" t="s">
        <v>399</v>
      </c>
      <c r="F85" s="14" t="s">
        <v>192</v>
      </c>
      <c r="G85" s="22">
        <v>45849</v>
      </c>
      <c r="H85" s="22">
        <v>46213</v>
      </c>
      <c r="I85" s="31">
        <v>645</v>
      </c>
      <c r="J85" s="13" t="s">
        <v>435</v>
      </c>
      <c r="K85" s="14" t="s">
        <v>491</v>
      </c>
      <c r="L85" s="17">
        <v>968</v>
      </c>
    </row>
    <row r="86" spans="1:14" ht="18.75" x14ac:dyDescent="0.3">
      <c r="A86" s="14" t="s">
        <v>358</v>
      </c>
      <c r="B86" s="14" t="s">
        <v>322</v>
      </c>
      <c r="C86" s="25" t="s">
        <v>279</v>
      </c>
      <c r="D86" s="14">
        <v>3271</v>
      </c>
      <c r="E86" s="14" t="s">
        <v>347</v>
      </c>
      <c r="F86" s="14" t="s">
        <v>222</v>
      </c>
      <c r="G86" s="22">
        <v>45918</v>
      </c>
      <c r="H86" s="22">
        <v>46282</v>
      </c>
      <c r="I86" s="31">
        <v>620</v>
      </c>
      <c r="J86" s="13" t="s">
        <v>431</v>
      </c>
      <c r="K86" s="14" t="s">
        <v>492</v>
      </c>
      <c r="L86" s="17">
        <v>913.55</v>
      </c>
    </row>
    <row r="87" spans="1:14" ht="18.75" x14ac:dyDescent="0.3">
      <c r="A87" s="14" t="s">
        <v>355</v>
      </c>
      <c r="B87" s="14" t="s">
        <v>327</v>
      </c>
      <c r="C87" s="26" t="s">
        <v>253</v>
      </c>
      <c r="D87" s="14">
        <v>3275</v>
      </c>
      <c r="E87" s="14" t="s">
        <v>360</v>
      </c>
      <c r="F87" s="14" t="s">
        <v>223</v>
      </c>
      <c r="G87" s="22">
        <v>46040</v>
      </c>
      <c r="H87" s="22">
        <v>46220</v>
      </c>
      <c r="I87" s="31">
        <v>830</v>
      </c>
      <c r="J87" s="13" t="s">
        <v>663</v>
      </c>
      <c r="K87" s="14" t="s">
        <v>664</v>
      </c>
      <c r="L87" s="17">
        <v>1044.8399999999999</v>
      </c>
      <c r="N87" t="s">
        <v>665</v>
      </c>
    </row>
    <row r="88" spans="1:14" ht="18.75" x14ac:dyDescent="0.3">
      <c r="A88" s="14" t="s">
        <v>355</v>
      </c>
      <c r="B88" s="14" t="s">
        <v>314</v>
      </c>
      <c r="C88" s="25" t="s">
        <v>273</v>
      </c>
      <c r="D88" s="14">
        <v>3276</v>
      </c>
      <c r="E88" s="14" t="s">
        <v>360</v>
      </c>
      <c r="F88" s="14" t="s">
        <v>193</v>
      </c>
      <c r="G88" s="22">
        <v>45923</v>
      </c>
      <c r="H88" s="22">
        <v>46103</v>
      </c>
      <c r="I88" s="31">
        <v>810</v>
      </c>
      <c r="J88" s="13" t="s">
        <v>430</v>
      </c>
      <c r="K88" s="14" t="s">
        <v>493</v>
      </c>
      <c r="L88" s="17">
        <v>949.85</v>
      </c>
    </row>
    <row r="89" spans="1:14" ht="18.75" x14ac:dyDescent="0.3">
      <c r="A89" s="14" t="s">
        <v>353</v>
      </c>
      <c r="B89" s="14" t="s">
        <v>314</v>
      </c>
      <c r="C89" s="26" t="s">
        <v>266</v>
      </c>
      <c r="D89" s="14">
        <v>3278</v>
      </c>
      <c r="E89" s="14" t="s">
        <v>347</v>
      </c>
      <c r="F89" s="14" t="s">
        <v>453</v>
      </c>
      <c r="G89" s="22">
        <v>46044</v>
      </c>
      <c r="H89" s="22">
        <v>46224</v>
      </c>
      <c r="I89" s="31">
        <v>600</v>
      </c>
      <c r="J89" s="13" t="s">
        <v>615</v>
      </c>
      <c r="K89" s="14" t="s">
        <v>616</v>
      </c>
      <c r="L89" s="17">
        <v>913.55</v>
      </c>
      <c r="M89" t="s">
        <v>429</v>
      </c>
    </row>
    <row r="90" spans="1:14" ht="18.75" x14ac:dyDescent="0.3">
      <c r="A90" s="14" t="s">
        <v>355</v>
      </c>
      <c r="B90" s="14" t="s">
        <v>327</v>
      </c>
      <c r="C90" s="26" t="s">
        <v>253</v>
      </c>
      <c r="D90" s="14">
        <v>3284</v>
      </c>
      <c r="E90" s="14" t="s">
        <v>360</v>
      </c>
      <c r="F90" s="14" t="s">
        <v>198</v>
      </c>
      <c r="G90" s="22">
        <v>46075</v>
      </c>
      <c r="H90" s="22">
        <v>46255</v>
      </c>
      <c r="I90" s="31">
        <v>830</v>
      </c>
      <c r="J90" s="13" t="s">
        <v>709</v>
      </c>
      <c r="K90" s="14" t="s">
        <v>710</v>
      </c>
      <c r="L90" s="17">
        <v>1044.8399999999999</v>
      </c>
      <c r="N90" t="s">
        <v>711</v>
      </c>
    </row>
    <row r="91" spans="1:14" ht="18.75" x14ac:dyDescent="0.3">
      <c r="A91" s="14" t="s">
        <v>356</v>
      </c>
      <c r="B91" s="14" t="s">
        <v>332</v>
      </c>
      <c r="C91" s="26" t="s">
        <v>255</v>
      </c>
      <c r="D91" s="14">
        <v>3307</v>
      </c>
      <c r="E91" s="14" t="s">
        <v>347</v>
      </c>
      <c r="F91" s="14" t="s">
        <v>224</v>
      </c>
      <c r="G91" s="22">
        <v>45782</v>
      </c>
      <c r="H91" s="22">
        <v>46146</v>
      </c>
      <c r="I91" s="31">
        <v>600</v>
      </c>
      <c r="J91" s="13" t="s">
        <v>389</v>
      </c>
      <c r="K91" s="14" t="s">
        <v>470</v>
      </c>
      <c r="L91" s="17">
        <v>913.55</v>
      </c>
    </row>
    <row r="92" spans="1:14" ht="18.75" x14ac:dyDescent="0.3">
      <c r="A92" s="14" t="s">
        <v>355</v>
      </c>
      <c r="B92" s="14" t="s">
        <v>314</v>
      </c>
      <c r="C92" s="25" t="s">
        <v>241</v>
      </c>
      <c r="D92" s="14">
        <v>3312</v>
      </c>
      <c r="E92" s="14" t="s">
        <v>349</v>
      </c>
      <c r="F92" s="14" t="s">
        <v>193</v>
      </c>
      <c r="G92" s="22">
        <v>46028</v>
      </c>
      <c r="H92" s="22">
        <v>46208</v>
      </c>
      <c r="I92" s="31">
        <v>810</v>
      </c>
      <c r="J92" s="13" t="s">
        <v>657</v>
      </c>
      <c r="K92" s="14" t="s">
        <v>658</v>
      </c>
      <c r="L92" s="17">
        <v>862.49</v>
      </c>
      <c r="N92" t="s">
        <v>659</v>
      </c>
    </row>
    <row r="93" spans="1:14" ht="18.75" x14ac:dyDescent="0.3">
      <c r="A93" s="14" t="s">
        <v>356</v>
      </c>
      <c r="B93" s="14" t="s">
        <v>333</v>
      </c>
      <c r="C93" s="25" t="s">
        <v>281</v>
      </c>
      <c r="D93" s="14">
        <v>3314</v>
      </c>
      <c r="E93" s="14" t="s">
        <v>349</v>
      </c>
      <c r="F93" s="14" t="s">
        <v>201</v>
      </c>
      <c r="G93" s="22">
        <v>45905</v>
      </c>
      <c r="H93" s="22">
        <v>46269</v>
      </c>
      <c r="I93" s="31">
        <v>800</v>
      </c>
      <c r="J93" s="13" t="s">
        <v>423</v>
      </c>
      <c r="K93" s="14">
        <v>3861</v>
      </c>
      <c r="L93" s="17">
        <v>784.08</v>
      </c>
    </row>
    <row r="94" spans="1:14" ht="18.75" x14ac:dyDescent="0.3">
      <c r="A94" s="14" t="s">
        <v>353</v>
      </c>
      <c r="B94" s="14" t="s">
        <v>308</v>
      </c>
      <c r="C94" s="25" t="s">
        <v>250</v>
      </c>
      <c r="D94" s="14">
        <v>3318</v>
      </c>
      <c r="E94" s="14" t="s">
        <v>396</v>
      </c>
      <c r="F94" s="14" t="s">
        <v>213</v>
      </c>
      <c r="G94" s="22">
        <v>45859</v>
      </c>
      <c r="H94" s="22">
        <v>46149</v>
      </c>
      <c r="I94" s="31"/>
      <c r="J94" s="13" t="s">
        <v>175</v>
      </c>
      <c r="K94" s="14">
        <v>24034</v>
      </c>
      <c r="L94" s="17">
        <v>1046.6500000000001</v>
      </c>
    </row>
    <row r="95" spans="1:14" ht="18.75" x14ac:dyDescent="0.3">
      <c r="A95" s="14"/>
      <c r="B95" s="14" t="s">
        <v>318</v>
      </c>
      <c r="C95" s="26" t="s">
        <v>272</v>
      </c>
      <c r="D95" s="14">
        <v>3321</v>
      </c>
      <c r="E95" s="14" t="s">
        <v>505</v>
      </c>
      <c r="F95" s="14" t="s">
        <v>208</v>
      </c>
      <c r="G95" s="22">
        <v>45911</v>
      </c>
      <c r="H95" s="22">
        <v>46275</v>
      </c>
      <c r="I95" s="31">
        <v>926</v>
      </c>
      <c r="J95" s="13" t="s">
        <v>506</v>
      </c>
      <c r="K95" s="14" t="s">
        <v>507</v>
      </c>
      <c r="L95" s="17">
        <v>785.5</v>
      </c>
    </row>
    <row r="96" spans="1:14" ht="18.75" x14ac:dyDescent="0.3">
      <c r="A96" s="14" t="s">
        <v>356</v>
      </c>
      <c r="B96" s="14" t="s">
        <v>306</v>
      </c>
      <c r="C96" s="26" t="s">
        <v>255</v>
      </c>
      <c r="D96" s="14">
        <v>3338</v>
      </c>
      <c r="E96" s="14" t="s">
        <v>347</v>
      </c>
      <c r="F96" s="14" t="s">
        <v>197</v>
      </c>
      <c r="G96" s="22">
        <v>45860</v>
      </c>
      <c r="H96" s="22">
        <v>46193</v>
      </c>
      <c r="I96" s="31">
        <v>600</v>
      </c>
      <c r="J96" s="13" t="s">
        <v>571</v>
      </c>
      <c r="K96" s="14" t="s">
        <v>572</v>
      </c>
      <c r="L96" s="17">
        <v>913.55</v>
      </c>
    </row>
    <row r="97" spans="1:14" ht="18.75" x14ac:dyDescent="0.3">
      <c r="A97" s="14" t="s">
        <v>356</v>
      </c>
      <c r="B97" s="14" t="s">
        <v>331</v>
      </c>
      <c r="C97" s="25" t="s">
        <v>276</v>
      </c>
      <c r="D97" s="14">
        <v>3339</v>
      </c>
      <c r="E97" s="14" t="s">
        <v>347</v>
      </c>
      <c r="F97" s="14" t="s">
        <v>216</v>
      </c>
      <c r="G97" s="22">
        <v>45802</v>
      </c>
      <c r="H97" s="22">
        <v>46166</v>
      </c>
      <c r="I97" s="31">
        <v>850</v>
      </c>
      <c r="J97" s="13" t="s">
        <v>596</v>
      </c>
      <c r="K97" s="14" t="s">
        <v>597</v>
      </c>
      <c r="L97" s="17">
        <v>913.55</v>
      </c>
    </row>
    <row r="98" spans="1:14" ht="18.75" x14ac:dyDescent="0.3">
      <c r="A98" s="14" t="s">
        <v>356</v>
      </c>
      <c r="B98" s="14" t="s">
        <v>325</v>
      </c>
      <c r="C98" s="26" t="s">
        <v>277</v>
      </c>
      <c r="D98" s="14">
        <v>3340</v>
      </c>
      <c r="E98" s="14" t="s">
        <v>349</v>
      </c>
      <c r="F98" s="14" t="s">
        <v>193</v>
      </c>
      <c r="G98" s="22">
        <v>45862</v>
      </c>
      <c r="H98" s="22">
        <v>45693</v>
      </c>
      <c r="I98" s="31"/>
      <c r="J98" s="13" t="s">
        <v>176</v>
      </c>
      <c r="K98" s="14">
        <v>391167</v>
      </c>
      <c r="L98" s="17">
        <v>784.08</v>
      </c>
    </row>
    <row r="99" spans="1:14" ht="18.75" x14ac:dyDescent="0.3">
      <c r="A99" s="14" t="s">
        <v>355</v>
      </c>
      <c r="B99" s="14" t="s">
        <v>334</v>
      </c>
      <c r="C99" s="26" t="s">
        <v>255</v>
      </c>
      <c r="D99" s="14">
        <v>3342</v>
      </c>
      <c r="E99" s="14" t="s">
        <v>348</v>
      </c>
      <c r="F99" s="14" t="s">
        <v>197</v>
      </c>
      <c r="G99" s="22">
        <v>45863</v>
      </c>
      <c r="H99" s="22">
        <v>46184</v>
      </c>
      <c r="I99" s="31">
        <v>600</v>
      </c>
      <c r="J99" s="13" t="s">
        <v>383</v>
      </c>
      <c r="K99" s="14" t="s">
        <v>801</v>
      </c>
      <c r="L99" s="17">
        <v>642.51</v>
      </c>
      <c r="N99" t="s">
        <v>802</v>
      </c>
    </row>
    <row r="100" spans="1:14" ht="18.75" x14ac:dyDescent="0.3">
      <c r="A100" s="14" t="s">
        <v>355</v>
      </c>
      <c r="B100" s="14" t="s">
        <v>326</v>
      </c>
      <c r="C100" s="26" t="s">
        <v>277</v>
      </c>
      <c r="D100" s="14">
        <v>3343</v>
      </c>
      <c r="E100" s="14" t="s">
        <v>348</v>
      </c>
      <c r="F100" s="14" t="s">
        <v>225</v>
      </c>
      <c r="G100" s="22">
        <v>45912</v>
      </c>
      <c r="H100" s="22">
        <v>46276</v>
      </c>
      <c r="I100" s="31">
        <v>810</v>
      </c>
      <c r="J100" s="13" t="s">
        <v>530</v>
      </c>
      <c r="K100" s="14" t="s">
        <v>531</v>
      </c>
      <c r="L100" s="17">
        <v>642.51</v>
      </c>
    </row>
    <row r="101" spans="1:14" ht="18.75" x14ac:dyDescent="0.3">
      <c r="A101" s="14" t="s">
        <v>355</v>
      </c>
      <c r="B101" s="14" t="s">
        <v>308</v>
      </c>
      <c r="C101" s="25" t="s">
        <v>250</v>
      </c>
      <c r="D101" s="14">
        <v>3344</v>
      </c>
      <c r="E101" s="14" t="s">
        <v>348</v>
      </c>
      <c r="F101" s="14" t="s">
        <v>199</v>
      </c>
      <c r="G101" s="22">
        <v>45962</v>
      </c>
      <c r="H101" s="22">
        <v>46326</v>
      </c>
      <c r="I101" s="31">
        <v>610</v>
      </c>
      <c r="J101" s="13" t="s">
        <v>566</v>
      </c>
      <c r="K101" s="14" t="s">
        <v>567</v>
      </c>
      <c r="L101" s="17">
        <v>642.51</v>
      </c>
    </row>
    <row r="102" spans="1:14" ht="18.75" x14ac:dyDescent="0.3">
      <c r="A102" s="14" t="s">
        <v>356</v>
      </c>
      <c r="B102" s="14" t="s">
        <v>295</v>
      </c>
      <c r="C102" s="25" t="s">
        <v>242</v>
      </c>
      <c r="D102" s="14">
        <v>3350</v>
      </c>
      <c r="E102" s="14" t="s">
        <v>348</v>
      </c>
      <c r="F102" s="14" t="s">
        <v>226</v>
      </c>
      <c r="G102" s="22">
        <v>45866</v>
      </c>
      <c r="H102" s="22">
        <v>46184</v>
      </c>
      <c r="I102" s="31"/>
      <c r="J102" s="13" t="s">
        <v>376</v>
      </c>
      <c r="K102" s="14">
        <v>27436</v>
      </c>
      <c r="L102" s="17">
        <v>642.51</v>
      </c>
    </row>
    <row r="103" spans="1:14" ht="18.75" x14ac:dyDescent="0.3">
      <c r="A103" s="14" t="s">
        <v>356</v>
      </c>
      <c r="B103" s="14" t="s">
        <v>515</v>
      </c>
      <c r="C103" s="26" t="s">
        <v>260</v>
      </c>
      <c r="D103" s="14">
        <v>3354</v>
      </c>
      <c r="E103" s="14" t="s">
        <v>347</v>
      </c>
      <c r="F103" s="14" t="s">
        <v>227</v>
      </c>
      <c r="G103" s="22">
        <v>45918</v>
      </c>
      <c r="H103" s="22">
        <v>46282</v>
      </c>
      <c r="I103" s="31">
        <v>645</v>
      </c>
      <c r="J103" s="13" t="s">
        <v>568</v>
      </c>
      <c r="K103" s="14" t="s">
        <v>516</v>
      </c>
      <c r="L103" s="17">
        <v>913.55</v>
      </c>
      <c r="M103" t="s">
        <v>517</v>
      </c>
    </row>
    <row r="104" spans="1:14" ht="18.75" x14ac:dyDescent="0.3">
      <c r="A104" s="14" t="s">
        <v>356</v>
      </c>
      <c r="B104" s="14" t="s">
        <v>306</v>
      </c>
      <c r="C104" s="26" t="s">
        <v>266</v>
      </c>
      <c r="D104" s="14">
        <v>3356</v>
      </c>
      <c r="E104" s="14" t="s">
        <v>347</v>
      </c>
      <c r="F104" s="14" t="s">
        <v>197</v>
      </c>
      <c r="G104" s="22">
        <v>46030</v>
      </c>
      <c r="H104" s="22">
        <v>46210</v>
      </c>
      <c r="I104" s="31">
        <v>600</v>
      </c>
      <c r="J104" s="13" t="s">
        <v>776</v>
      </c>
      <c r="K104" s="14" t="s">
        <v>777</v>
      </c>
      <c r="L104" s="17">
        <v>1004.91</v>
      </c>
      <c r="N104" t="s">
        <v>778</v>
      </c>
    </row>
    <row r="105" spans="1:14" ht="18.75" x14ac:dyDescent="0.3">
      <c r="A105" s="14" t="s">
        <v>355</v>
      </c>
      <c r="B105" s="14" t="s">
        <v>295</v>
      </c>
      <c r="C105" s="26" t="s">
        <v>282</v>
      </c>
      <c r="D105" s="14">
        <v>3364</v>
      </c>
      <c r="E105" s="14" t="s">
        <v>348</v>
      </c>
      <c r="F105" s="14" t="s">
        <v>228</v>
      </c>
      <c r="G105" s="22">
        <v>46074</v>
      </c>
      <c r="H105" s="22">
        <v>46254</v>
      </c>
      <c r="I105" s="31">
        <v>810</v>
      </c>
      <c r="J105" s="13" t="s">
        <v>703</v>
      </c>
      <c r="K105" s="14" t="s">
        <v>704</v>
      </c>
      <c r="L105" s="17">
        <v>706.76</v>
      </c>
      <c r="N105" t="s">
        <v>705</v>
      </c>
    </row>
    <row r="106" spans="1:14" ht="18.75" x14ac:dyDescent="0.3">
      <c r="A106" s="14" t="s">
        <v>353</v>
      </c>
      <c r="B106" s="14" t="s">
        <v>322</v>
      </c>
      <c r="C106" s="25" t="s">
        <v>283</v>
      </c>
      <c r="D106" s="14">
        <v>3374</v>
      </c>
      <c r="E106" s="14" t="s">
        <v>434</v>
      </c>
      <c r="F106" s="14" t="s">
        <v>229</v>
      </c>
      <c r="G106" s="22">
        <v>45931</v>
      </c>
      <c r="H106" s="22">
        <v>46295</v>
      </c>
      <c r="I106" s="31">
        <v>623</v>
      </c>
      <c r="J106" s="13" t="s">
        <v>798</v>
      </c>
      <c r="K106" s="14" t="s">
        <v>799</v>
      </c>
      <c r="L106" s="17">
        <v>1151.32</v>
      </c>
      <c r="N106" t="s">
        <v>800</v>
      </c>
    </row>
    <row r="107" spans="1:14" ht="18.75" x14ac:dyDescent="0.3">
      <c r="A107" s="14" t="s">
        <v>353</v>
      </c>
      <c r="B107" s="14" t="s">
        <v>322</v>
      </c>
      <c r="C107" s="25" t="s">
        <v>263</v>
      </c>
      <c r="D107" s="14">
        <v>3379</v>
      </c>
      <c r="E107" s="14" t="s">
        <v>397</v>
      </c>
      <c r="F107" s="14" t="s">
        <v>602</v>
      </c>
      <c r="G107" s="22">
        <v>45871</v>
      </c>
      <c r="H107" s="22">
        <v>46193</v>
      </c>
      <c r="I107" s="31">
        <v>620</v>
      </c>
      <c r="J107" s="13" t="s">
        <v>603</v>
      </c>
      <c r="K107" s="14" t="s">
        <v>604</v>
      </c>
      <c r="L107" s="17">
        <v>1113.2</v>
      </c>
    </row>
    <row r="108" spans="1:14" ht="18.75" x14ac:dyDescent="0.3">
      <c r="A108" s="14" t="s">
        <v>356</v>
      </c>
      <c r="B108" s="14" t="s">
        <v>322</v>
      </c>
      <c r="C108" s="25" t="s">
        <v>263</v>
      </c>
      <c r="D108" s="14">
        <v>3380</v>
      </c>
      <c r="E108" s="14" t="s">
        <v>347</v>
      </c>
      <c r="F108" s="14" t="s">
        <v>189</v>
      </c>
      <c r="G108" s="22">
        <v>45901</v>
      </c>
      <c r="H108" s="22">
        <v>46265</v>
      </c>
      <c r="I108" s="31">
        <v>620</v>
      </c>
      <c r="J108" s="13" t="s">
        <v>436</v>
      </c>
      <c r="K108" s="14" t="s">
        <v>469</v>
      </c>
      <c r="L108" s="17">
        <v>913.55</v>
      </c>
    </row>
    <row r="109" spans="1:14" ht="18.75" x14ac:dyDescent="0.3">
      <c r="A109" s="14" t="s">
        <v>356</v>
      </c>
      <c r="B109" s="14" t="s">
        <v>322</v>
      </c>
      <c r="C109" s="25" t="s">
        <v>279</v>
      </c>
      <c r="D109" s="14">
        <v>3393</v>
      </c>
      <c r="E109" s="14" t="s">
        <v>404</v>
      </c>
      <c r="F109" s="14" t="s">
        <v>189</v>
      </c>
      <c r="G109" s="22">
        <v>45887</v>
      </c>
      <c r="H109" s="22">
        <v>46251</v>
      </c>
      <c r="I109" s="31"/>
      <c r="J109" s="13" t="s">
        <v>405</v>
      </c>
      <c r="K109" s="14">
        <v>32160</v>
      </c>
      <c r="L109" s="17">
        <v>1046.6500000000001</v>
      </c>
    </row>
    <row r="110" spans="1:14" ht="18.75" x14ac:dyDescent="0.3">
      <c r="A110" s="14" t="s">
        <v>356</v>
      </c>
      <c r="B110" s="14" t="s">
        <v>390</v>
      </c>
      <c r="C110" s="26" t="s">
        <v>391</v>
      </c>
      <c r="D110" s="14">
        <v>3394</v>
      </c>
      <c r="E110" s="14" t="s">
        <v>399</v>
      </c>
      <c r="F110" s="14" t="s">
        <v>392</v>
      </c>
      <c r="G110" s="22">
        <v>46036</v>
      </c>
      <c r="H110" s="22">
        <v>46216</v>
      </c>
      <c r="I110" s="31">
        <v>683</v>
      </c>
      <c r="J110" s="13" t="s">
        <v>789</v>
      </c>
      <c r="K110" s="14" t="s">
        <v>790</v>
      </c>
      <c r="L110" s="17">
        <v>1064.8</v>
      </c>
      <c r="N110" t="s">
        <v>791</v>
      </c>
    </row>
    <row r="111" spans="1:14" ht="18.75" x14ac:dyDescent="0.3">
      <c r="A111" s="14" t="s">
        <v>356</v>
      </c>
      <c r="B111" s="14" t="s">
        <v>299</v>
      </c>
      <c r="C111" s="25" t="s">
        <v>634</v>
      </c>
      <c r="D111" s="14">
        <v>3405</v>
      </c>
      <c r="E111" s="14" t="s">
        <v>635</v>
      </c>
      <c r="F111" s="14" t="s">
        <v>230</v>
      </c>
      <c r="G111" s="22">
        <v>46012</v>
      </c>
      <c r="H111" s="22">
        <v>46193</v>
      </c>
      <c r="I111" s="31">
        <v>640</v>
      </c>
      <c r="J111" s="13" t="s">
        <v>636</v>
      </c>
      <c r="K111" s="14" t="s">
        <v>637</v>
      </c>
      <c r="L111" s="17">
        <v>1300</v>
      </c>
    </row>
    <row r="112" spans="1:14" ht="18.75" x14ac:dyDescent="0.3">
      <c r="A112" s="14" t="s">
        <v>355</v>
      </c>
      <c r="B112" s="14" t="s">
        <v>316</v>
      </c>
      <c r="C112" s="25" t="s">
        <v>284</v>
      </c>
      <c r="D112" s="14">
        <v>3406</v>
      </c>
      <c r="E112" s="14" t="s">
        <v>348</v>
      </c>
      <c r="F112" s="14" t="s">
        <v>218</v>
      </c>
      <c r="G112" s="22">
        <v>46060</v>
      </c>
      <c r="H112" s="22">
        <v>46240</v>
      </c>
      <c r="I112" s="31">
        <v>950</v>
      </c>
      <c r="J112" s="13" t="s">
        <v>743</v>
      </c>
      <c r="K112" s="14" t="s">
        <v>744</v>
      </c>
      <c r="L112" s="17">
        <v>706.76</v>
      </c>
      <c r="N112" t="s">
        <v>745</v>
      </c>
    </row>
    <row r="113" spans="1:14" ht="18.75" x14ac:dyDescent="0.3">
      <c r="A113" s="14" t="s">
        <v>355</v>
      </c>
      <c r="B113" s="14" t="s">
        <v>316</v>
      </c>
      <c r="C113" s="25" t="s">
        <v>285</v>
      </c>
      <c r="D113" s="14">
        <v>3407</v>
      </c>
      <c r="E113" s="14" t="s">
        <v>348</v>
      </c>
      <c r="F113" s="14" t="s">
        <v>231</v>
      </c>
      <c r="G113" s="22">
        <v>45877</v>
      </c>
      <c r="H113" s="22">
        <v>46179</v>
      </c>
      <c r="I113" s="31">
        <v>100</v>
      </c>
      <c r="J113" s="13" t="s">
        <v>583</v>
      </c>
      <c r="K113" s="14" t="s">
        <v>584</v>
      </c>
      <c r="L113" s="17">
        <v>642.51</v>
      </c>
    </row>
    <row r="114" spans="1:14" ht="18.75" x14ac:dyDescent="0.3">
      <c r="A114" s="14" t="s">
        <v>355</v>
      </c>
      <c r="B114" s="14" t="s">
        <v>330</v>
      </c>
      <c r="C114" s="26" t="s">
        <v>535</v>
      </c>
      <c r="D114" s="14">
        <v>3414</v>
      </c>
      <c r="E114" s="14" t="s">
        <v>348</v>
      </c>
      <c r="F114" s="14" t="s">
        <v>192</v>
      </c>
      <c r="G114" s="22">
        <v>45940</v>
      </c>
      <c r="H114" s="22">
        <v>46121</v>
      </c>
      <c r="I114" s="31">
        <v>645</v>
      </c>
      <c r="J114" s="13" t="s">
        <v>536</v>
      </c>
      <c r="K114" s="14" t="s">
        <v>537</v>
      </c>
      <c r="L114" s="17">
        <v>642.51</v>
      </c>
    </row>
    <row r="115" spans="1:14" ht="18.75" x14ac:dyDescent="0.3">
      <c r="A115" s="14" t="s">
        <v>356</v>
      </c>
      <c r="B115" s="14" t="s">
        <v>335</v>
      </c>
      <c r="C115" s="25" t="s">
        <v>256</v>
      </c>
      <c r="D115" s="14">
        <v>3416</v>
      </c>
      <c r="E115" s="14" t="s">
        <v>421</v>
      </c>
      <c r="F115" s="14" t="s">
        <v>232</v>
      </c>
      <c r="G115" s="22">
        <v>45915</v>
      </c>
      <c r="H115" s="22">
        <v>46279</v>
      </c>
      <c r="I115" s="31">
        <v>920</v>
      </c>
      <c r="J115" s="13" t="s">
        <v>422</v>
      </c>
      <c r="K115" s="14" t="s">
        <v>468</v>
      </c>
      <c r="L115" s="17">
        <v>913.55</v>
      </c>
    </row>
    <row r="116" spans="1:14" ht="18.75" x14ac:dyDescent="0.3">
      <c r="A116" s="14" t="s">
        <v>356</v>
      </c>
      <c r="B116" s="14" t="s">
        <v>322</v>
      </c>
      <c r="C116" s="25" t="s">
        <v>279</v>
      </c>
      <c r="D116" s="14">
        <v>3417</v>
      </c>
      <c r="E116" s="14" t="s">
        <v>432</v>
      </c>
      <c r="F116" s="14" t="s">
        <v>189</v>
      </c>
      <c r="G116" s="22">
        <v>45913</v>
      </c>
      <c r="H116" s="22">
        <v>46277</v>
      </c>
      <c r="I116" s="31">
        <v>620</v>
      </c>
      <c r="J116" s="13" t="s">
        <v>433</v>
      </c>
      <c r="K116" s="14" t="s">
        <v>467</v>
      </c>
      <c r="L116" s="17">
        <v>949.85</v>
      </c>
    </row>
    <row r="117" spans="1:14" ht="18.75" x14ac:dyDescent="0.3">
      <c r="A117" s="15" t="s">
        <v>356</v>
      </c>
      <c r="B117" s="15" t="s">
        <v>318</v>
      </c>
      <c r="C117" s="27" t="s">
        <v>286</v>
      </c>
      <c r="D117" s="15">
        <v>3419</v>
      </c>
      <c r="E117" s="15" t="s">
        <v>347</v>
      </c>
      <c r="F117" s="15" t="s">
        <v>602</v>
      </c>
      <c r="G117" s="22">
        <v>46011</v>
      </c>
      <c r="H117" s="23">
        <v>46192</v>
      </c>
      <c r="I117" s="31">
        <v>926</v>
      </c>
      <c r="J117" s="21" t="s">
        <v>746</v>
      </c>
      <c r="K117" s="15" t="s">
        <v>747</v>
      </c>
      <c r="L117" s="18">
        <v>1004.91</v>
      </c>
      <c r="N117" t="s">
        <v>748</v>
      </c>
    </row>
    <row r="118" spans="1:14" ht="18.75" x14ac:dyDescent="0.3">
      <c r="A118" s="15" t="s">
        <v>356</v>
      </c>
      <c r="B118" s="15" t="s">
        <v>769</v>
      </c>
      <c r="C118" s="27" t="s">
        <v>278</v>
      </c>
      <c r="D118" s="15">
        <v>3421</v>
      </c>
      <c r="E118" s="15" t="s">
        <v>347</v>
      </c>
      <c r="F118" s="15" t="s">
        <v>214</v>
      </c>
      <c r="G118" s="22">
        <v>46059</v>
      </c>
      <c r="H118" s="23">
        <v>46239</v>
      </c>
      <c r="I118" s="31">
        <v>670</v>
      </c>
      <c r="J118" s="21" t="s">
        <v>770</v>
      </c>
      <c r="K118" s="15" t="s">
        <v>771</v>
      </c>
      <c r="L118" s="18">
        <v>1004.91</v>
      </c>
      <c r="N118" t="s">
        <v>772</v>
      </c>
    </row>
    <row r="119" spans="1:14" ht="18.75" x14ac:dyDescent="0.3">
      <c r="A119" s="15" t="s">
        <v>356</v>
      </c>
      <c r="B119" s="15" t="s">
        <v>542</v>
      </c>
      <c r="C119" s="27" t="s">
        <v>386</v>
      </c>
      <c r="D119" s="15">
        <v>3422</v>
      </c>
      <c r="E119" s="15" t="s">
        <v>349</v>
      </c>
      <c r="F119" s="15" t="s">
        <v>543</v>
      </c>
      <c r="G119" s="22">
        <v>45944</v>
      </c>
      <c r="H119" s="23">
        <v>46308</v>
      </c>
      <c r="I119" s="31">
        <v>810</v>
      </c>
      <c r="J119" s="21" t="s">
        <v>544</v>
      </c>
      <c r="K119" s="15" t="s">
        <v>545</v>
      </c>
      <c r="L119" s="18">
        <v>784.08</v>
      </c>
    </row>
    <row r="120" spans="1:14" ht="18.75" x14ac:dyDescent="0.3">
      <c r="A120" s="15" t="s">
        <v>356</v>
      </c>
      <c r="B120" s="15" t="s">
        <v>315</v>
      </c>
      <c r="C120" s="27" t="s">
        <v>728</v>
      </c>
      <c r="D120" s="15">
        <v>3428</v>
      </c>
      <c r="E120" s="15" t="s">
        <v>360</v>
      </c>
      <c r="F120" s="15" t="s">
        <v>729</v>
      </c>
      <c r="G120" s="22">
        <v>46042</v>
      </c>
      <c r="H120" s="23">
        <v>46222</v>
      </c>
      <c r="I120" s="31">
        <v>820</v>
      </c>
      <c r="J120" s="21" t="s">
        <v>730</v>
      </c>
      <c r="K120" s="15" t="s">
        <v>731</v>
      </c>
      <c r="L120" s="18">
        <v>1044.8399999999999</v>
      </c>
      <c r="N120" t="s">
        <v>732</v>
      </c>
    </row>
    <row r="121" spans="1:14" ht="18.75" x14ac:dyDescent="0.3">
      <c r="A121" s="15" t="s">
        <v>356</v>
      </c>
      <c r="B121" s="15" t="s">
        <v>302</v>
      </c>
      <c r="C121" s="27" t="s">
        <v>260</v>
      </c>
      <c r="D121" s="15">
        <v>3433</v>
      </c>
      <c r="E121" s="15" t="s">
        <v>360</v>
      </c>
      <c r="F121" s="15" t="s">
        <v>192</v>
      </c>
      <c r="G121" s="22">
        <v>45933</v>
      </c>
      <c r="H121" s="23">
        <v>46297</v>
      </c>
      <c r="I121" s="31">
        <v>681</v>
      </c>
      <c r="J121" s="21" t="s">
        <v>552</v>
      </c>
      <c r="K121" s="15" t="s">
        <v>553</v>
      </c>
      <c r="L121" s="18">
        <v>949.85</v>
      </c>
    </row>
    <row r="122" spans="1:14" ht="18.75" x14ac:dyDescent="0.3">
      <c r="A122" s="15" t="s">
        <v>355</v>
      </c>
      <c r="B122" s="15" t="s">
        <v>336</v>
      </c>
      <c r="C122" s="28" t="s">
        <v>272</v>
      </c>
      <c r="D122" s="15">
        <v>3435</v>
      </c>
      <c r="E122" s="15" t="s">
        <v>347</v>
      </c>
      <c r="F122" s="15" t="s">
        <v>208</v>
      </c>
      <c r="G122" s="22">
        <v>45963</v>
      </c>
      <c r="H122" s="23">
        <v>46327</v>
      </c>
      <c r="I122" s="31">
        <v>926</v>
      </c>
      <c r="J122" s="21" t="s">
        <v>565</v>
      </c>
      <c r="K122" s="15" t="s">
        <v>564</v>
      </c>
      <c r="L122" s="18">
        <v>913.55</v>
      </c>
    </row>
    <row r="123" spans="1:14" ht="18.75" x14ac:dyDescent="0.3">
      <c r="A123" s="15" t="s">
        <v>355</v>
      </c>
      <c r="B123" s="15" t="s">
        <v>300</v>
      </c>
      <c r="C123" s="27" t="s">
        <v>278</v>
      </c>
      <c r="D123" s="15">
        <v>3441</v>
      </c>
      <c r="E123" s="15" t="s">
        <v>347</v>
      </c>
      <c r="F123" s="15" t="s">
        <v>232</v>
      </c>
      <c r="G123" s="22">
        <v>45883</v>
      </c>
      <c r="H123" s="23">
        <v>46199</v>
      </c>
      <c r="I123" s="31">
        <v>920</v>
      </c>
      <c r="J123" s="21" t="s">
        <v>365</v>
      </c>
      <c r="K123" s="15" t="s">
        <v>466</v>
      </c>
      <c r="L123" s="18">
        <v>913.55</v>
      </c>
    </row>
    <row r="124" spans="1:14" ht="18.75" x14ac:dyDescent="0.3">
      <c r="A124" s="15" t="s">
        <v>355</v>
      </c>
      <c r="B124" s="15" t="s">
        <v>337</v>
      </c>
      <c r="C124" s="27" t="s">
        <v>288</v>
      </c>
      <c r="D124" s="15">
        <v>3442</v>
      </c>
      <c r="E124" s="15" t="s">
        <v>347</v>
      </c>
      <c r="F124" s="15" t="s">
        <v>231</v>
      </c>
      <c r="G124" s="22">
        <v>45965</v>
      </c>
      <c r="H124" s="23">
        <v>46329</v>
      </c>
      <c r="I124" s="31">
        <v>926</v>
      </c>
      <c r="J124" s="21" t="s">
        <v>569</v>
      </c>
      <c r="K124" s="15" t="s">
        <v>570</v>
      </c>
      <c r="L124" s="18">
        <v>913.55</v>
      </c>
    </row>
    <row r="125" spans="1:14" ht="18.75" x14ac:dyDescent="0.3">
      <c r="A125" s="14" t="s">
        <v>355</v>
      </c>
      <c r="B125" s="14" t="s">
        <v>338</v>
      </c>
      <c r="C125" s="26" t="s">
        <v>455</v>
      </c>
      <c r="D125" s="14">
        <v>3443</v>
      </c>
      <c r="E125" s="14" t="s">
        <v>347</v>
      </c>
      <c r="F125" s="14" t="s">
        <v>233</v>
      </c>
      <c r="G125" s="22">
        <v>45955</v>
      </c>
      <c r="H125" s="22">
        <v>46136</v>
      </c>
      <c r="I125" s="31">
        <v>926</v>
      </c>
      <c r="J125" s="13" t="s">
        <v>456</v>
      </c>
      <c r="K125" s="14" t="s">
        <v>457</v>
      </c>
      <c r="L125" s="17">
        <v>913.55</v>
      </c>
    </row>
    <row r="126" spans="1:14" ht="18.75" x14ac:dyDescent="0.3">
      <c r="A126" s="14" t="s">
        <v>355</v>
      </c>
      <c r="B126" s="14" t="s">
        <v>339</v>
      </c>
      <c r="C126" s="25" t="s">
        <v>287</v>
      </c>
      <c r="D126" s="14">
        <v>3444</v>
      </c>
      <c r="E126" s="14" t="s">
        <v>347</v>
      </c>
      <c r="F126" s="14" t="s">
        <v>216</v>
      </c>
      <c r="G126" s="22">
        <v>45950</v>
      </c>
      <c r="H126" s="22">
        <v>46314</v>
      </c>
      <c r="I126" s="31">
        <v>850</v>
      </c>
      <c r="J126" s="13" t="s">
        <v>500</v>
      </c>
      <c r="K126" s="14" t="s">
        <v>501</v>
      </c>
      <c r="L126" s="17">
        <v>913.55</v>
      </c>
    </row>
    <row r="127" spans="1:14" ht="18.75" x14ac:dyDescent="0.3">
      <c r="A127" s="14" t="s">
        <v>353</v>
      </c>
      <c r="B127" s="14" t="s">
        <v>325</v>
      </c>
      <c r="C127" s="25" t="s">
        <v>247</v>
      </c>
      <c r="D127" s="14">
        <v>3447</v>
      </c>
      <c r="E127" s="14" t="s">
        <v>349</v>
      </c>
      <c r="F127" s="14" t="s">
        <v>193</v>
      </c>
      <c r="G127" s="22">
        <v>45887</v>
      </c>
      <c r="H127" s="22">
        <v>46156</v>
      </c>
      <c r="I127" s="31">
        <v>810</v>
      </c>
      <c r="J127" s="13" t="s">
        <v>585</v>
      </c>
      <c r="K127" s="14" t="s">
        <v>586</v>
      </c>
      <c r="L127" s="17">
        <v>784.08</v>
      </c>
    </row>
    <row r="128" spans="1:14" ht="18.75" x14ac:dyDescent="0.3">
      <c r="A128" s="14" t="s">
        <v>356</v>
      </c>
      <c r="B128" s="14" t="s">
        <v>334</v>
      </c>
      <c r="C128" s="26" t="s">
        <v>255</v>
      </c>
      <c r="D128" s="14">
        <v>3448</v>
      </c>
      <c r="E128" s="14" t="s">
        <v>367</v>
      </c>
      <c r="F128" s="14" t="s">
        <v>197</v>
      </c>
      <c r="G128" s="22">
        <v>45996</v>
      </c>
      <c r="H128" s="22">
        <v>46177</v>
      </c>
      <c r="I128" s="31">
        <v>603</v>
      </c>
      <c r="J128" s="13" t="s">
        <v>600</v>
      </c>
      <c r="K128" s="14" t="s">
        <v>601</v>
      </c>
      <c r="L128" s="17">
        <v>756.25</v>
      </c>
    </row>
    <row r="129" spans="1:14" ht="18.75" x14ac:dyDescent="0.3">
      <c r="A129" s="14" t="s">
        <v>355</v>
      </c>
      <c r="B129" s="14" t="s">
        <v>428</v>
      </c>
      <c r="C129" s="26" t="s">
        <v>280</v>
      </c>
      <c r="D129" s="14">
        <v>3453</v>
      </c>
      <c r="E129" s="14" t="s">
        <v>347</v>
      </c>
      <c r="F129" s="14" t="s">
        <v>219</v>
      </c>
      <c r="G129" s="22">
        <v>46068</v>
      </c>
      <c r="H129" s="22">
        <v>46248</v>
      </c>
      <c r="I129" s="31">
        <v>850</v>
      </c>
      <c r="J129" s="13" t="s">
        <v>680</v>
      </c>
      <c r="K129" s="14" t="s">
        <v>681</v>
      </c>
      <c r="L129" s="17">
        <v>1004.91</v>
      </c>
      <c r="M129" t="s">
        <v>150</v>
      </c>
      <c r="N129" t="s">
        <v>682</v>
      </c>
    </row>
    <row r="130" spans="1:14" ht="18.75" x14ac:dyDescent="0.3">
      <c r="A130" s="14" t="s">
        <v>355</v>
      </c>
      <c r="B130" s="14" t="s">
        <v>337</v>
      </c>
      <c r="C130" s="25" t="s">
        <v>288</v>
      </c>
      <c r="D130" s="14">
        <v>3454</v>
      </c>
      <c r="E130" s="14" t="s">
        <v>347</v>
      </c>
      <c r="F130" s="14" t="s">
        <v>239</v>
      </c>
      <c r="G130" s="22">
        <v>46037</v>
      </c>
      <c r="H130" s="22">
        <v>46217</v>
      </c>
      <c r="I130" s="31">
        <v>931</v>
      </c>
      <c r="J130" s="13" t="s">
        <v>740</v>
      </c>
      <c r="K130" s="14" t="s">
        <v>741</v>
      </c>
      <c r="L130" s="17">
        <v>1004.91</v>
      </c>
      <c r="N130" t="s">
        <v>742</v>
      </c>
    </row>
    <row r="131" spans="1:14" ht="18.75" x14ac:dyDescent="0.3">
      <c r="A131" s="14" t="s">
        <v>355</v>
      </c>
      <c r="B131" s="14" t="s">
        <v>331</v>
      </c>
      <c r="C131" s="25" t="s">
        <v>276</v>
      </c>
      <c r="D131" s="14">
        <v>3455</v>
      </c>
      <c r="E131" s="14" t="s">
        <v>350</v>
      </c>
      <c r="F131" s="14" t="s">
        <v>216</v>
      </c>
      <c r="G131" s="22">
        <v>45889</v>
      </c>
      <c r="H131" s="22">
        <v>46070</v>
      </c>
      <c r="I131" s="31"/>
      <c r="J131" s="13" t="s">
        <v>177</v>
      </c>
      <c r="K131" s="14">
        <v>391410</v>
      </c>
      <c r="L131" s="17">
        <v>913.55</v>
      </c>
    </row>
    <row r="132" spans="1:14" ht="18.75" x14ac:dyDescent="0.3">
      <c r="A132" s="14" t="s">
        <v>355</v>
      </c>
      <c r="B132" s="14" t="s">
        <v>322</v>
      </c>
      <c r="C132" s="26" t="s">
        <v>260</v>
      </c>
      <c r="D132" s="14">
        <v>3457</v>
      </c>
      <c r="E132" s="14" t="s">
        <v>347</v>
      </c>
      <c r="F132" s="14" t="s">
        <v>235</v>
      </c>
      <c r="G132" s="22">
        <v>46027</v>
      </c>
      <c r="H132" s="22">
        <v>46207</v>
      </c>
      <c r="I132" s="31">
        <v>645</v>
      </c>
      <c r="J132" s="13" t="s">
        <v>625</v>
      </c>
      <c r="K132" s="14" t="s">
        <v>626</v>
      </c>
      <c r="L132" s="17">
        <v>913.55</v>
      </c>
    </row>
    <row r="133" spans="1:14" ht="18.75" x14ac:dyDescent="0.3">
      <c r="A133" s="14" t="s">
        <v>355</v>
      </c>
      <c r="B133" s="14" t="s">
        <v>302</v>
      </c>
      <c r="C133" s="26" t="s">
        <v>260</v>
      </c>
      <c r="D133" s="14">
        <v>3461</v>
      </c>
      <c r="E133" s="14" t="s">
        <v>347</v>
      </c>
      <c r="F133" s="14" t="s">
        <v>207</v>
      </c>
      <c r="G133" s="22">
        <v>46053</v>
      </c>
      <c r="H133" s="22">
        <v>46233</v>
      </c>
      <c r="I133" s="31">
        <v>645</v>
      </c>
      <c r="J133" s="13" t="s">
        <v>623</v>
      </c>
      <c r="K133" s="14" t="s">
        <v>624</v>
      </c>
      <c r="L133" s="17">
        <v>913.55</v>
      </c>
    </row>
    <row r="134" spans="1:14" ht="18.75" x14ac:dyDescent="0.3">
      <c r="A134" s="14" t="s">
        <v>354</v>
      </c>
      <c r="B134" s="14" t="s">
        <v>382</v>
      </c>
      <c r="C134" s="26" t="s">
        <v>379</v>
      </c>
      <c r="D134" s="14">
        <v>3471</v>
      </c>
      <c r="E134" s="14" t="s">
        <v>360</v>
      </c>
      <c r="F134" s="14" t="s">
        <v>381</v>
      </c>
      <c r="G134" s="22">
        <v>45892</v>
      </c>
      <c r="H134" s="22">
        <v>46203</v>
      </c>
      <c r="I134" s="31">
        <v>696</v>
      </c>
      <c r="J134" s="13" t="s">
        <v>581</v>
      </c>
      <c r="K134" s="14" t="s">
        <v>582</v>
      </c>
      <c r="L134" s="17">
        <v>949.85</v>
      </c>
    </row>
    <row r="135" spans="1:14" ht="18.75" x14ac:dyDescent="0.3">
      <c r="A135" s="14" t="s">
        <v>355</v>
      </c>
      <c r="B135" s="14" t="s">
        <v>302</v>
      </c>
      <c r="C135" s="26" t="s">
        <v>248</v>
      </c>
      <c r="D135" s="14">
        <v>3473</v>
      </c>
      <c r="E135" s="14" t="s">
        <v>360</v>
      </c>
      <c r="F135" s="14" t="s">
        <v>236</v>
      </c>
      <c r="G135" s="22">
        <v>46000</v>
      </c>
      <c r="H135" s="22">
        <v>46181</v>
      </c>
      <c r="I135" s="31">
        <v>645</v>
      </c>
      <c r="J135" s="13" t="s">
        <v>666</v>
      </c>
      <c r="K135" s="14" t="s">
        <v>667</v>
      </c>
      <c r="L135" s="17">
        <v>1044.8399999999999</v>
      </c>
    </row>
    <row r="136" spans="1:14" ht="18.75" x14ac:dyDescent="0.3">
      <c r="A136" s="14" t="s">
        <v>355</v>
      </c>
      <c r="B136" s="14" t="s">
        <v>330</v>
      </c>
      <c r="C136" s="26" t="s">
        <v>260</v>
      </c>
      <c r="D136" s="14">
        <v>3475</v>
      </c>
      <c r="E136" s="14" t="s">
        <v>360</v>
      </c>
      <c r="F136" s="14" t="s">
        <v>207</v>
      </c>
      <c r="G136" s="22">
        <v>46104</v>
      </c>
      <c r="H136" s="22">
        <v>46287</v>
      </c>
      <c r="I136" s="31">
        <v>645</v>
      </c>
      <c r="J136" s="13" t="s">
        <v>792</v>
      </c>
      <c r="K136" s="14" t="s">
        <v>793</v>
      </c>
      <c r="L136" s="17">
        <v>1044.8399999999999</v>
      </c>
      <c r="N136" t="s">
        <v>794</v>
      </c>
    </row>
    <row r="137" spans="1:14" ht="18.75" x14ac:dyDescent="0.3">
      <c r="A137" s="14" t="s">
        <v>354</v>
      </c>
      <c r="B137" s="14" t="s">
        <v>340</v>
      </c>
      <c r="C137" s="25" t="s">
        <v>289</v>
      </c>
      <c r="D137" s="14">
        <v>3478</v>
      </c>
      <c r="E137" s="14" t="s">
        <v>360</v>
      </c>
      <c r="F137" s="14" t="s">
        <v>237</v>
      </c>
      <c r="G137" s="22">
        <v>45921</v>
      </c>
      <c r="H137" s="22">
        <v>46285</v>
      </c>
      <c r="I137" s="31">
        <v>860</v>
      </c>
      <c r="J137" s="13" t="s">
        <v>447</v>
      </c>
      <c r="K137" s="14" t="s">
        <v>465</v>
      </c>
      <c r="L137" s="17">
        <v>949.85</v>
      </c>
    </row>
    <row r="138" spans="1:14" ht="18.75" x14ac:dyDescent="0.3">
      <c r="A138" s="14" t="s">
        <v>354</v>
      </c>
      <c r="B138" s="14" t="s">
        <v>340</v>
      </c>
      <c r="C138" s="25" t="s">
        <v>289</v>
      </c>
      <c r="D138" s="14">
        <v>3481</v>
      </c>
      <c r="E138" s="14" t="s">
        <v>360</v>
      </c>
      <c r="F138" s="14" t="s">
        <v>237</v>
      </c>
      <c r="G138" s="22">
        <v>45921</v>
      </c>
      <c r="H138" s="22">
        <v>46285</v>
      </c>
      <c r="I138" s="31">
        <v>860</v>
      </c>
      <c r="J138" s="13" t="s">
        <v>447</v>
      </c>
      <c r="K138" s="14" t="s">
        <v>465</v>
      </c>
      <c r="L138" s="17">
        <v>949.85</v>
      </c>
    </row>
    <row r="139" spans="1:14" ht="18.75" x14ac:dyDescent="0.3">
      <c r="A139" s="14" t="s">
        <v>354</v>
      </c>
      <c r="B139" s="14" t="s">
        <v>340</v>
      </c>
      <c r="C139" s="25" t="s">
        <v>289</v>
      </c>
      <c r="D139" s="14">
        <v>3483</v>
      </c>
      <c r="E139" s="14" t="s">
        <v>360</v>
      </c>
      <c r="F139" s="14" t="s">
        <v>237</v>
      </c>
      <c r="G139" s="22">
        <v>45921</v>
      </c>
      <c r="H139" s="22">
        <v>46285</v>
      </c>
      <c r="I139" s="31">
        <v>860</v>
      </c>
      <c r="J139" s="13" t="s">
        <v>447</v>
      </c>
      <c r="K139" s="14" t="s">
        <v>465</v>
      </c>
      <c r="L139" s="17">
        <v>949.85</v>
      </c>
    </row>
    <row r="140" spans="1:14" ht="18.75" x14ac:dyDescent="0.3">
      <c r="A140" s="14" t="s">
        <v>355</v>
      </c>
      <c r="B140" s="14" t="s">
        <v>341</v>
      </c>
      <c r="C140" s="26" t="s">
        <v>276</v>
      </c>
      <c r="D140" s="14">
        <v>3493</v>
      </c>
      <c r="E140" s="14" t="s">
        <v>348</v>
      </c>
      <c r="F140" s="14" t="s">
        <v>201</v>
      </c>
      <c r="G140" s="22">
        <v>45938</v>
      </c>
      <c r="H140" s="22">
        <v>46119</v>
      </c>
      <c r="I140" s="31">
        <v>950</v>
      </c>
      <c r="J140" s="13" t="s">
        <v>548</v>
      </c>
      <c r="K140" s="14" t="s">
        <v>549</v>
      </c>
      <c r="L140" s="17">
        <v>642.51</v>
      </c>
    </row>
    <row r="141" spans="1:14" ht="18.75" x14ac:dyDescent="0.3">
      <c r="A141" s="14" t="s">
        <v>355</v>
      </c>
      <c r="B141" s="14" t="s">
        <v>331</v>
      </c>
      <c r="C141" s="26" t="s">
        <v>280</v>
      </c>
      <c r="D141" s="14">
        <v>3494</v>
      </c>
      <c r="E141" s="14" t="s">
        <v>348</v>
      </c>
      <c r="F141" s="14" t="s">
        <v>236</v>
      </c>
      <c r="G141" s="22">
        <v>45986</v>
      </c>
      <c r="H141" s="22">
        <v>46350</v>
      </c>
      <c r="I141" s="31">
        <v>850</v>
      </c>
      <c r="J141" s="13" t="s">
        <v>556</v>
      </c>
      <c r="K141" s="14" t="s">
        <v>557</v>
      </c>
      <c r="L141" s="17">
        <v>642.51</v>
      </c>
    </row>
    <row r="142" spans="1:14" ht="18.75" x14ac:dyDescent="0.3">
      <c r="A142" s="14" t="s">
        <v>353</v>
      </c>
      <c r="B142" s="14" t="s">
        <v>411</v>
      </c>
      <c r="C142" s="26" t="s">
        <v>276</v>
      </c>
      <c r="D142" s="14">
        <v>3496</v>
      </c>
      <c r="E142" s="14" t="s">
        <v>347</v>
      </c>
      <c r="F142" s="14" t="s">
        <v>201</v>
      </c>
      <c r="G142" s="22">
        <v>45780</v>
      </c>
      <c r="H142" s="22">
        <v>46144</v>
      </c>
      <c r="I142" s="31">
        <v>850</v>
      </c>
      <c r="J142" s="13" t="s">
        <v>575</v>
      </c>
      <c r="K142" s="14" t="s">
        <v>576</v>
      </c>
      <c r="L142" s="17">
        <v>913.55</v>
      </c>
    </row>
    <row r="143" spans="1:14" ht="18.75" x14ac:dyDescent="0.3">
      <c r="A143" s="14" t="s">
        <v>353</v>
      </c>
      <c r="B143" s="14" t="s">
        <v>300</v>
      </c>
      <c r="C143" s="26" t="s">
        <v>276</v>
      </c>
      <c r="D143" s="14">
        <v>3505</v>
      </c>
      <c r="E143" s="14" t="s">
        <v>347</v>
      </c>
      <c r="F143" s="14" t="s">
        <v>201</v>
      </c>
      <c r="G143" s="22">
        <v>45798</v>
      </c>
      <c r="H143" s="22">
        <v>46162</v>
      </c>
      <c r="I143" s="31">
        <v>850</v>
      </c>
      <c r="J143" s="13" t="s">
        <v>593</v>
      </c>
      <c r="K143" s="14" t="s">
        <v>582</v>
      </c>
      <c r="L143" s="17">
        <v>913.55</v>
      </c>
    </row>
    <row r="144" spans="1:14" ht="18.75" x14ac:dyDescent="0.3">
      <c r="A144" s="20" t="s">
        <v>356</v>
      </c>
      <c r="B144" s="13" t="s">
        <v>342</v>
      </c>
      <c r="C144" s="29" t="s">
        <v>272</v>
      </c>
      <c r="D144" s="16" t="s">
        <v>151</v>
      </c>
      <c r="E144" s="20" t="s">
        <v>347</v>
      </c>
      <c r="F144" s="20" t="s">
        <v>208</v>
      </c>
      <c r="G144" s="22">
        <v>45953</v>
      </c>
      <c r="H144" s="24">
        <v>46317</v>
      </c>
      <c r="I144" s="31">
        <v>926</v>
      </c>
      <c r="J144" s="13" t="s">
        <v>494</v>
      </c>
      <c r="K144" s="20" t="s">
        <v>495</v>
      </c>
      <c r="L144" s="19">
        <v>913.55</v>
      </c>
    </row>
    <row r="145" spans="1:14" ht="18.75" x14ac:dyDescent="0.3">
      <c r="A145" s="20" t="s">
        <v>356</v>
      </c>
      <c r="B145" s="13" t="s">
        <v>328</v>
      </c>
      <c r="C145" s="29" t="s">
        <v>278</v>
      </c>
      <c r="D145" s="16" t="s">
        <v>152</v>
      </c>
      <c r="E145" s="20" t="s">
        <v>347</v>
      </c>
      <c r="F145" s="20" t="s">
        <v>201</v>
      </c>
      <c r="G145" s="22">
        <v>45903</v>
      </c>
      <c r="H145" s="24">
        <v>46200</v>
      </c>
      <c r="I145" s="31">
        <v>805</v>
      </c>
      <c r="J145" s="13" t="s">
        <v>589</v>
      </c>
      <c r="K145" s="20" t="s">
        <v>590</v>
      </c>
      <c r="L145" s="19">
        <v>913.55</v>
      </c>
    </row>
    <row r="146" spans="1:14" ht="18.75" x14ac:dyDescent="0.3">
      <c r="A146" s="30" t="s">
        <v>353</v>
      </c>
      <c r="B146" s="13" t="s">
        <v>343</v>
      </c>
      <c r="C146" s="29" t="s">
        <v>254</v>
      </c>
      <c r="D146" s="16" t="s">
        <v>153</v>
      </c>
      <c r="E146" s="20" t="s">
        <v>352</v>
      </c>
      <c r="F146" s="20" t="s">
        <v>206</v>
      </c>
      <c r="G146" s="22">
        <v>46029</v>
      </c>
      <c r="H146" s="24">
        <v>46209</v>
      </c>
      <c r="I146" s="31"/>
      <c r="J146" s="13" t="s">
        <v>622</v>
      </c>
      <c r="K146" s="20" t="s">
        <v>582</v>
      </c>
      <c r="L146" s="19">
        <v>784.08</v>
      </c>
    </row>
    <row r="147" spans="1:14" ht="18.75" x14ac:dyDescent="0.3">
      <c r="A147" s="30" t="s">
        <v>353</v>
      </c>
      <c r="B147" s="13" t="s">
        <v>344</v>
      </c>
      <c r="C147" s="29" t="s">
        <v>253</v>
      </c>
      <c r="D147" s="16" t="s">
        <v>154</v>
      </c>
      <c r="E147" s="20" t="s">
        <v>352</v>
      </c>
      <c r="F147" s="20" t="s">
        <v>201</v>
      </c>
      <c r="G147" s="22">
        <v>46002</v>
      </c>
      <c r="H147" s="24">
        <v>46183</v>
      </c>
      <c r="I147" s="31">
        <v>830</v>
      </c>
      <c r="J147" s="13" t="s">
        <v>607</v>
      </c>
      <c r="K147" s="20" t="s">
        <v>608</v>
      </c>
      <c r="L147" s="19">
        <v>784.08</v>
      </c>
    </row>
    <row r="148" spans="1:14" ht="18.75" x14ac:dyDescent="0.3">
      <c r="A148" s="30" t="s">
        <v>353</v>
      </c>
      <c r="B148" s="13" t="s">
        <v>345</v>
      </c>
      <c r="C148" s="29" t="s">
        <v>281</v>
      </c>
      <c r="D148" s="16" t="s">
        <v>155</v>
      </c>
      <c r="E148" s="20" t="s">
        <v>398</v>
      </c>
      <c r="F148" s="20" t="s">
        <v>201</v>
      </c>
      <c r="G148" s="22">
        <v>46070</v>
      </c>
      <c r="H148" s="24">
        <v>46250</v>
      </c>
      <c r="I148" s="31">
        <v>800</v>
      </c>
      <c r="J148" s="13" t="s">
        <v>786</v>
      </c>
      <c r="K148" s="20" t="s">
        <v>787</v>
      </c>
      <c r="L148" s="19">
        <v>1430</v>
      </c>
      <c r="N148" t="s">
        <v>788</v>
      </c>
    </row>
    <row r="149" spans="1:14" ht="18.75" x14ac:dyDescent="0.3">
      <c r="A149" s="20" t="s">
        <v>353</v>
      </c>
      <c r="B149" s="13" t="s">
        <v>345</v>
      </c>
      <c r="C149" s="29" t="s">
        <v>281</v>
      </c>
      <c r="D149" s="16" t="s">
        <v>156</v>
      </c>
      <c r="E149" s="20" t="s">
        <v>398</v>
      </c>
      <c r="F149" s="20" t="s">
        <v>201</v>
      </c>
      <c r="G149" s="22">
        <v>46070</v>
      </c>
      <c r="H149" s="24">
        <v>46250</v>
      </c>
      <c r="I149" s="31">
        <v>800</v>
      </c>
      <c r="J149" s="13" t="s">
        <v>783</v>
      </c>
      <c r="K149" s="20" t="s">
        <v>784</v>
      </c>
      <c r="L149" s="19">
        <v>1430</v>
      </c>
      <c r="N149" t="s">
        <v>785</v>
      </c>
    </row>
    <row r="150" spans="1:14" ht="18.75" x14ac:dyDescent="0.3">
      <c r="A150" s="20" t="s">
        <v>356</v>
      </c>
      <c r="B150" s="13" t="s">
        <v>300</v>
      </c>
      <c r="C150" s="29" t="s">
        <v>278</v>
      </c>
      <c r="D150" s="16" t="s">
        <v>157</v>
      </c>
      <c r="E150" s="20" t="s">
        <v>347</v>
      </c>
      <c r="F150" s="20" t="s">
        <v>234</v>
      </c>
      <c r="G150" s="22">
        <v>46053</v>
      </c>
      <c r="H150" s="24">
        <v>46233</v>
      </c>
      <c r="I150" s="31"/>
      <c r="J150" s="13" t="s">
        <v>668</v>
      </c>
      <c r="K150" s="20" t="s">
        <v>582</v>
      </c>
      <c r="L150" s="19">
        <v>1004.91</v>
      </c>
    </row>
    <row r="151" spans="1:14" ht="18.75" x14ac:dyDescent="0.3">
      <c r="A151" s="20" t="s">
        <v>355</v>
      </c>
      <c r="B151" s="13" t="s">
        <v>322</v>
      </c>
      <c r="C151" s="29" t="s">
        <v>290</v>
      </c>
      <c r="D151" s="16" t="s">
        <v>158</v>
      </c>
      <c r="E151" s="20" t="s">
        <v>351</v>
      </c>
      <c r="F151" s="20" t="s">
        <v>238</v>
      </c>
      <c r="G151" s="22">
        <v>45879</v>
      </c>
      <c r="H151" s="24">
        <v>46242</v>
      </c>
      <c r="I151" s="31">
        <v>620</v>
      </c>
      <c r="J151" s="13" t="s">
        <v>420</v>
      </c>
      <c r="K151" s="20" t="s">
        <v>464</v>
      </c>
      <c r="L151" s="19">
        <v>913.55</v>
      </c>
    </row>
    <row r="152" spans="1:14" ht="18.75" x14ac:dyDescent="0.3">
      <c r="A152" s="20" t="s">
        <v>355</v>
      </c>
      <c r="B152" s="13" t="s">
        <v>306</v>
      </c>
      <c r="C152" s="29" t="s">
        <v>266</v>
      </c>
      <c r="D152" s="16" t="s">
        <v>159</v>
      </c>
      <c r="E152" s="20" t="s">
        <v>348</v>
      </c>
      <c r="F152" s="20" t="s">
        <v>197</v>
      </c>
      <c r="G152" s="22">
        <v>45960</v>
      </c>
      <c r="H152" s="24">
        <v>46324</v>
      </c>
      <c r="I152" s="31">
        <v>600</v>
      </c>
      <c r="J152" s="13" t="s">
        <v>451</v>
      </c>
      <c r="K152" s="20" t="s">
        <v>463</v>
      </c>
      <c r="L152" s="19">
        <v>642.51</v>
      </c>
    </row>
    <row r="153" spans="1:14" ht="18.75" x14ac:dyDescent="0.3">
      <c r="A153" s="20" t="s">
        <v>358</v>
      </c>
      <c r="B153" s="13" t="s">
        <v>460</v>
      </c>
      <c r="C153" s="29" t="s">
        <v>287</v>
      </c>
      <c r="D153" s="16" t="s">
        <v>160</v>
      </c>
      <c r="E153" s="20" t="s">
        <v>347</v>
      </c>
      <c r="F153" s="20" t="s">
        <v>216</v>
      </c>
      <c r="G153" s="22">
        <v>45943</v>
      </c>
      <c r="H153" s="24">
        <v>46307</v>
      </c>
      <c r="I153" s="31">
        <v>850</v>
      </c>
      <c r="J153" s="13" t="s">
        <v>461</v>
      </c>
      <c r="K153" s="20" t="s">
        <v>462</v>
      </c>
      <c r="L153" s="19">
        <v>913.55</v>
      </c>
    </row>
    <row r="154" spans="1:14" ht="18.75" x14ac:dyDescent="0.3">
      <c r="A154" s="20" t="s">
        <v>354</v>
      </c>
      <c r="B154" s="13" t="s">
        <v>538</v>
      </c>
      <c r="C154" s="29" t="s">
        <v>266</v>
      </c>
      <c r="D154" s="16" t="s">
        <v>539</v>
      </c>
      <c r="E154" s="20" t="s">
        <v>360</v>
      </c>
      <c r="F154" s="20" t="s">
        <v>197</v>
      </c>
      <c r="G154" s="22">
        <v>45944</v>
      </c>
      <c r="H154" s="24">
        <v>46308</v>
      </c>
      <c r="I154" s="31">
        <v>600</v>
      </c>
      <c r="J154" s="13" t="s">
        <v>540</v>
      </c>
      <c r="K154" s="20" t="s">
        <v>541</v>
      </c>
      <c r="L154" s="19">
        <v>949.85</v>
      </c>
    </row>
    <row r="155" spans="1:14" ht="18.75" x14ac:dyDescent="0.3">
      <c r="A155" s="20" t="s">
        <v>354</v>
      </c>
      <c r="B155" s="13" t="s">
        <v>330</v>
      </c>
      <c r="C155" s="29" t="s">
        <v>260</v>
      </c>
      <c r="D155" s="16" t="s">
        <v>384</v>
      </c>
      <c r="E155" s="20" t="s">
        <v>360</v>
      </c>
      <c r="F155" s="20" t="s">
        <v>385</v>
      </c>
      <c r="G155" s="22">
        <v>46030</v>
      </c>
      <c r="H155" s="24">
        <v>46210</v>
      </c>
      <c r="I155" s="31">
        <v>646</v>
      </c>
      <c r="J155" s="13" t="s">
        <v>620</v>
      </c>
      <c r="K155" s="20" t="s">
        <v>621</v>
      </c>
      <c r="L155" s="19">
        <v>949.85</v>
      </c>
    </row>
    <row r="156" spans="1:14" ht="18.75" x14ac:dyDescent="0.3">
      <c r="A156" s="20" t="s">
        <v>355</v>
      </c>
      <c r="B156" s="13" t="s">
        <v>346</v>
      </c>
      <c r="C156" s="29" t="s">
        <v>291</v>
      </c>
      <c r="D156" s="16" t="s">
        <v>161</v>
      </c>
      <c r="E156" s="20" t="s">
        <v>347</v>
      </c>
      <c r="F156" s="20" t="s">
        <v>202</v>
      </c>
      <c r="G156" s="22">
        <v>46073</v>
      </c>
      <c r="H156" s="24">
        <v>46253</v>
      </c>
      <c r="I156" s="31">
        <v>840</v>
      </c>
      <c r="J156" s="13" t="s">
        <v>725</v>
      </c>
      <c r="K156" s="20" t="s">
        <v>726</v>
      </c>
      <c r="L156" s="19">
        <v>1004.91</v>
      </c>
      <c r="N156" t="s">
        <v>727</v>
      </c>
    </row>
    <row r="157" spans="1:14" ht="18.75" x14ac:dyDescent="0.3">
      <c r="A157" s="20" t="s">
        <v>355</v>
      </c>
      <c r="B157" s="13" t="s">
        <v>369</v>
      </c>
      <c r="C157" s="29" t="s">
        <v>370</v>
      </c>
      <c r="D157" s="16" t="s">
        <v>371</v>
      </c>
      <c r="E157" s="20" t="s">
        <v>373</v>
      </c>
      <c r="F157" s="20" t="s">
        <v>374</v>
      </c>
      <c r="G157" s="22">
        <v>45914</v>
      </c>
      <c r="H157" s="24">
        <v>46008</v>
      </c>
      <c r="I157" s="31">
        <v>929</v>
      </c>
      <c r="J157" s="13" t="s">
        <v>375</v>
      </c>
      <c r="K157" s="20">
        <v>27405</v>
      </c>
      <c r="L157" s="19">
        <v>847</v>
      </c>
    </row>
    <row r="158" spans="1:14" ht="18.75" x14ac:dyDescent="0.3">
      <c r="A158" s="20" t="s">
        <v>355</v>
      </c>
      <c r="B158" s="13" t="s">
        <v>369</v>
      </c>
      <c r="C158" s="29" t="s">
        <v>370</v>
      </c>
      <c r="D158" s="16" t="s">
        <v>372</v>
      </c>
      <c r="E158" s="20" t="s">
        <v>373</v>
      </c>
      <c r="F158" s="20" t="s">
        <v>374</v>
      </c>
      <c r="G158" s="22">
        <v>45915</v>
      </c>
      <c r="H158" s="24">
        <v>46008</v>
      </c>
      <c r="I158" s="31">
        <v>929</v>
      </c>
      <c r="J158" s="13" t="s">
        <v>375</v>
      </c>
      <c r="K158" s="20">
        <v>27405</v>
      </c>
      <c r="L158" s="19">
        <v>847</v>
      </c>
    </row>
    <row r="159" spans="1:14" ht="18.75" x14ac:dyDescent="0.3">
      <c r="A159" s="20" t="s">
        <v>355</v>
      </c>
      <c r="B159" s="13" t="s">
        <v>300</v>
      </c>
      <c r="C159" s="29" t="s">
        <v>276</v>
      </c>
      <c r="D159" s="16" t="s">
        <v>162</v>
      </c>
      <c r="E159" s="20" t="s">
        <v>400</v>
      </c>
      <c r="F159" s="20" t="s">
        <v>201</v>
      </c>
      <c r="G159" s="22">
        <v>45916</v>
      </c>
      <c r="H159" s="24">
        <v>46070</v>
      </c>
      <c r="I159" s="31"/>
      <c r="J159" s="13" t="s">
        <v>179</v>
      </c>
      <c r="K159" s="20">
        <v>390675</v>
      </c>
      <c r="L159" s="19">
        <v>1300</v>
      </c>
    </row>
    <row r="160" spans="1:14" ht="18.75" x14ac:dyDescent="0.3">
      <c r="A160" s="20" t="s">
        <v>355</v>
      </c>
      <c r="B160" s="13" t="s">
        <v>330</v>
      </c>
      <c r="C160" s="29" t="s">
        <v>260</v>
      </c>
      <c r="D160" s="16" t="s">
        <v>163</v>
      </c>
      <c r="E160" s="20" t="s">
        <v>401</v>
      </c>
      <c r="F160" s="20" t="s">
        <v>192</v>
      </c>
      <c r="G160" s="22">
        <v>46049</v>
      </c>
      <c r="H160" s="24">
        <v>46229</v>
      </c>
      <c r="I160" s="31">
        <v>645</v>
      </c>
      <c r="J160" s="13" t="s">
        <v>739</v>
      </c>
      <c r="K160" s="20" t="s">
        <v>619</v>
      </c>
      <c r="L160" s="19">
        <v>1300</v>
      </c>
    </row>
    <row r="161" spans="1:14" ht="18.75" x14ac:dyDescent="0.3">
      <c r="A161" s="20" t="s">
        <v>355</v>
      </c>
      <c r="B161" s="13" t="s">
        <v>378</v>
      </c>
      <c r="C161" s="29" t="s">
        <v>379</v>
      </c>
      <c r="D161" s="16" t="s">
        <v>380</v>
      </c>
      <c r="E161" s="20" t="s">
        <v>400</v>
      </c>
      <c r="F161" s="20" t="s">
        <v>381</v>
      </c>
      <c r="G161" s="22">
        <v>45918</v>
      </c>
      <c r="H161" s="24">
        <v>46203</v>
      </c>
      <c r="I161" s="31">
        <v>646</v>
      </c>
      <c r="J161" s="13" t="s">
        <v>579</v>
      </c>
      <c r="K161" s="20" t="s">
        <v>580</v>
      </c>
      <c r="L161" s="19">
        <v>1300</v>
      </c>
    </row>
    <row r="162" spans="1:14" ht="18.75" x14ac:dyDescent="0.3">
      <c r="A162" s="20" t="s">
        <v>355</v>
      </c>
      <c r="B162" s="13" t="s">
        <v>302</v>
      </c>
      <c r="C162" s="29" t="s">
        <v>248</v>
      </c>
      <c r="D162" s="16" t="s">
        <v>164</v>
      </c>
      <c r="E162" s="20" t="s">
        <v>401</v>
      </c>
      <c r="F162" s="20" t="s">
        <v>192</v>
      </c>
      <c r="G162" s="22">
        <v>46077</v>
      </c>
      <c r="H162" s="24">
        <v>46257</v>
      </c>
      <c r="I162" s="31">
        <v>645</v>
      </c>
      <c r="J162" s="13" t="s">
        <v>683</v>
      </c>
      <c r="K162" s="20" t="s">
        <v>684</v>
      </c>
      <c r="L162" s="19">
        <v>1430</v>
      </c>
      <c r="N162" t="s">
        <v>685</v>
      </c>
    </row>
    <row r="163" spans="1:14" ht="18.75" x14ac:dyDescent="0.3">
      <c r="A163" s="20" t="s">
        <v>355</v>
      </c>
      <c r="B163" s="13" t="s">
        <v>299</v>
      </c>
      <c r="C163" s="29" t="s">
        <v>292</v>
      </c>
      <c r="D163" s="16" t="s">
        <v>165</v>
      </c>
      <c r="E163" s="20" t="s">
        <v>401</v>
      </c>
      <c r="F163" s="20" t="s">
        <v>192</v>
      </c>
      <c r="G163" s="22">
        <v>45920</v>
      </c>
      <c r="H163" s="24">
        <v>46120</v>
      </c>
      <c r="I163" s="31"/>
      <c r="J163" s="13" t="s">
        <v>180</v>
      </c>
      <c r="K163" s="20">
        <v>389114</v>
      </c>
      <c r="L163" s="19">
        <v>1300</v>
      </c>
    </row>
    <row r="164" spans="1:14" ht="18.75" x14ac:dyDescent="0.3">
      <c r="A164" s="20" t="s">
        <v>355</v>
      </c>
      <c r="B164" s="13" t="s">
        <v>308</v>
      </c>
      <c r="C164" s="29" t="s">
        <v>250</v>
      </c>
      <c r="D164" s="16" t="s">
        <v>514</v>
      </c>
      <c r="E164" s="20" t="s">
        <v>400</v>
      </c>
      <c r="F164" s="20" t="s">
        <v>213</v>
      </c>
      <c r="G164" s="22">
        <v>45947</v>
      </c>
      <c r="H164" s="24">
        <v>46311</v>
      </c>
      <c r="I164" s="31">
        <v>610</v>
      </c>
      <c r="J164" s="13" t="s">
        <v>518</v>
      </c>
      <c r="K164" s="20" t="s">
        <v>519</v>
      </c>
      <c r="L164" s="19">
        <v>1300</v>
      </c>
      <c r="M164" t="s">
        <v>520</v>
      </c>
    </row>
    <row r="165" spans="1:14" ht="18.75" x14ac:dyDescent="0.3">
      <c r="A165" s="20"/>
      <c r="B165" s="13" t="s">
        <v>525</v>
      </c>
      <c r="C165" s="29" t="s">
        <v>276</v>
      </c>
      <c r="D165" s="16" t="s">
        <v>526</v>
      </c>
      <c r="E165" s="20" t="s">
        <v>527</v>
      </c>
      <c r="F165" s="20" t="s">
        <v>185</v>
      </c>
      <c r="G165" s="22">
        <v>45936</v>
      </c>
      <c r="H165" s="24">
        <v>46300</v>
      </c>
      <c r="I165" s="31">
        <v>805</v>
      </c>
      <c r="J165" s="13" t="s">
        <v>528</v>
      </c>
      <c r="K165" s="20" t="s">
        <v>529</v>
      </c>
      <c r="L165" s="19">
        <v>968</v>
      </c>
    </row>
    <row r="166" spans="1:14" ht="18.75" x14ac:dyDescent="0.3">
      <c r="A166" s="20" t="s">
        <v>355</v>
      </c>
      <c r="B166" s="13" t="s">
        <v>331</v>
      </c>
      <c r="C166" s="29" t="s">
        <v>276</v>
      </c>
      <c r="D166" s="16" t="s">
        <v>166</v>
      </c>
      <c r="E166" s="20" t="s">
        <v>347</v>
      </c>
      <c r="F166" s="20" t="s">
        <v>216</v>
      </c>
      <c r="G166" s="22">
        <v>45884</v>
      </c>
      <c r="H166" s="24">
        <v>46067</v>
      </c>
      <c r="I166" s="31">
        <v>850</v>
      </c>
      <c r="J166" s="13" t="s">
        <v>415</v>
      </c>
      <c r="K166" s="20">
        <v>33828</v>
      </c>
      <c r="L166" s="19">
        <v>913.55</v>
      </c>
    </row>
    <row r="167" spans="1:14" ht="18.75" x14ac:dyDescent="0.3">
      <c r="A167" s="20" t="s">
        <v>353</v>
      </c>
      <c r="B167" s="13" t="s">
        <v>712</v>
      </c>
      <c r="C167" s="29" t="s">
        <v>276</v>
      </c>
      <c r="D167" s="16" t="s">
        <v>377</v>
      </c>
      <c r="E167" s="20" t="s">
        <v>347</v>
      </c>
      <c r="F167" s="20" t="s">
        <v>201</v>
      </c>
      <c r="G167" s="22">
        <v>46016</v>
      </c>
      <c r="H167" s="24">
        <v>46197</v>
      </c>
      <c r="I167" s="31">
        <v>950</v>
      </c>
      <c r="J167" s="13" t="s">
        <v>713</v>
      </c>
      <c r="K167" s="20" t="s">
        <v>714</v>
      </c>
      <c r="L167" s="19">
        <v>1004.91</v>
      </c>
      <c r="M167" t="s">
        <v>150</v>
      </c>
      <c r="N167" t="s">
        <v>715</v>
      </c>
    </row>
    <row r="168" spans="1:14" ht="18.75" x14ac:dyDescent="0.3">
      <c r="A168" s="20" t="s">
        <v>353</v>
      </c>
      <c r="B168" s="13" t="s">
        <v>328</v>
      </c>
      <c r="C168" s="29" t="s">
        <v>521</v>
      </c>
      <c r="D168" s="16" t="s">
        <v>522</v>
      </c>
      <c r="E168" s="20" t="s">
        <v>347</v>
      </c>
      <c r="F168" s="20" t="s">
        <v>201</v>
      </c>
      <c r="G168" s="22">
        <v>45931</v>
      </c>
      <c r="H168" s="24">
        <v>46295</v>
      </c>
      <c r="I168" s="31">
        <v>805</v>
      </c>
      <c r="J168" s="13" t="s">
        <v>523</v>
      </c>
      <c r="K168" s="20" t="s">
        <v>524</v>
      </c>
      <c r="L168" s="19">
        <v>913.55</v>
      </c>
    </row>
    <row r="169" spans="1:14" ht="18.75" x14ac:dyDescent="0.3">
      <c r="A169" s="20" t="s">
        <v>353</v>
      </c>
      <c r="B169" s="13" t="s">
        <v>438</v>
      </c>
      <c r="C169" s="29" t="s">
        <v>439</v>
      </c>
      <c r="D169" s="16" t="s">
        <v>440</v>
      </c>
      <c r="E169" s="20" t="s">
        <v>347</v>
      </c>
      <c r="F169" s="20" t="s">
        <v>198</v>
      </c>
      <c r="G169" s="22">
        <v>46065</v>
      </c>
      <c r="H169" s="24">
        <v>46214</v>
      </c>
      <c r="I169" s="31">
        <v>830</v>
      </c>
      <c r="J169" s="13" t="s">
        <v>773</v>
      </c>
      <c r="K169" s="20" t="s">
        <v>774</v>
      </c>
      <c r="L169" s="19">
        <v>1004.91</v>
      </c>
      <c r="N169" t="s">
        <v>775</v>
      </c>
    </row>
    <row r="170" spans="1:14" ht="18.75" x14ac:dyDescent="0.3">
      <c r="A170" s="20"/>
      <c r="B170" s="13"/>
      <c r="C170" s="29"/>
      <c r="D170" s="16"/>
      <c r="E170" s="20"/>
      <c r="F170" s="20"/>
      <c r="G170" s="22"/>
      <c r="H170" s="24"/>
      <c r="I170" s="31"/>
      <c r="J170" s="13"/>
      <c r="K170" s="20"/>
      <c r="L170" s="19"/>
    </row>
    <row r="171" spans="1:14" ht="18.75" x14ac:dyDescent="0.3">
      <c r="A171" s="20" t="s">
        <v>353</v>
      </c>
      <c r="B171" s="13" t="s">
        <v>318</v>
      </c>
      <c r="C171" s="29" t="s">
        <v>288</v>
      </c>
      <c r="D171" s="16" t="s">
        <v>167</v>
      </c>
      <c r="E171" s="20" t="s">
        <v>347</v>
      </c>
      <c r="F171" s="20" t="s">
        <v>239</v>
      </c>
      <c r="G171" s="22">
        <v>45958</v>
      </c>
      <c r="H171" s="24">
        <v>46322</v>
      </c>
      <c r="I171" s="31">
        <v>931</v>
      </c>
      <c r="J171" s="13" t="s">
        <v>496</v>
      </c>
      <c r="K171" s="20" t="s">
        <v>497</v>
      </c>
      <c r="L171" s="19">
        <v>913.55</v>
      </c>
    </row>
    <row r="172" spans="1:14" ht="18.75" x14ac:dyDescent="0.3">
      <c r="A172" s="20" t="s">
        <v>353</v>
      </c>
      <c r="B172" s="13" t="s">
        <v>325</v>
      </c>
      <c r="C172" s="29" t="s">
        <v>273</v>
      </c>
      <c r="D172" s="16" t="s">
        <v>735</v>
      </c>
      <c r="E172" s="20" t="s">
        <v>347</v>
      </c>
      <c r="F172" s="20" t="s">
        <v>193</v>
      </c>
      <c r="G172" s="22">
        <v>46052</v>
      </c>
      <c r="H172" s="24">
        <v>46232</v>
      </c>
      <c r="I172" s="31">
        <v>810</v>
      </c>
      <c r="J172" s="13" t="s">
        <v>736</v>
      </c>
      <c r="K172" s="20" t="s">
        <v>737</v>
      </c>
      <c r="L172" s="19">
        <v>1004.91</v>
      </c>
      <c r="N172" t="s">
        <v>738</v>
      </c>
    </row>
    <row r="173" spans="1:14" ht="18.75" x14ac:dyDescent="0.3">
      <c r="A173" s="20" t="s">
        <v>355</v>
      </c>
      <c r="B173" s="13" t="s">
        <v>441</v>
      </c>
      <c r="C173" s="29" t="s">
        <v>276</v>
      </c>
      <c r="D173" s="16" t="s">
        <v>442</v>
      </c>
      <c r="E173" s="20" t="s">
        <v>348</v>
      </c>
      <c r="F173" s="20" t="s">
        <v>198</v>
      </c>
      <c r="G173" s="22">
        <v>45884</v>
      </c>
      <c r="H173" s="24">
        <v>46067</v>
      </c>
      <c r="I173" s="31">
        <v>830</v>
      </c>
      <c r="J173" s="13" t="s">
        <v>443</v>
      </c>
      <c r="K173" s="20">
        <v>33432</v>
      </c>
      <c r="L173" s="19">
        <v>642.51</v>
      </c>
    </row>
    <row r="174" spans="1:14" ht="18.75" x14ac:dyDescent="0.3">
      <c r="A174" s="14" t="s">
        <v>355</v>
      </c>
      <c r="B174" s="14" t="s">
        <v>308</v>
      </c>
      <c r="C174" s="25" t="s">
        <v>250</v>
      </c>
      <c r="D174" s="14">
        <v>3705</v>
      </c>
      <c r="E174" s="14" t="s">
        <v>348</v>
      </c>
      <c r="F174" s="14" t="s">
        <v>196</v>
      </c>
      <c r="G174" s="22">
        <v>45879</v>
      </c>
      <c r="H174" s="22">
        <v>46243</v>
      </c>
      <c r="I174" s="31">
        <v>610</v>
      </c>
      <c r="J174" s="13" t="s">
        <v>410</v>
      </c>
      <c r="K174" s="14" t="s">
        <v>478</v>
      </c>
      <c r="L174" s="17">
        <v>642.51</v>
      </c>
      <c r="M174" t="s">
        <v>534</v>
      </c>
    </row>
    <row r="175" spans="1:14" ht="18.75" x14ac:dyDescent="0.3">
      <c r="A175" s="35" t="s">
        <v>355</v>
      </c>
      <c r="B175" s="35" t="s">
        <v>319</v>
      </c>
      <c r="C175" s="41" t="s">
        <v>264</v>
      </c>
      <c r="D175" s="35">
        <v>3710</v>
      </c>
      <c r="E175" s="35" t="s">
        <v>348</v>
      </c>
      <c r="F175" s="35" t="s">
        <v>449</v>
      </c>
      <c r="G175" s="22">
        <v>45874</v>
      </c>
      <c r="H175" s="39">
        <v>46238</v>
      </c>
      <c r="I175" s="31">
        <v>640</v>
      </c>
      <c r="J175" s="37" t="s">
        <v>416</v>
      </c>
      <c r="K175" s="35">
        <v>33843</v>
      </c>
      <c r="L175" s="40">
        <v>642.51</v>
      </c>
      <c r="M175" t="s">
        <v>448</v>
      </c>
    </row>
    <row r="176" spans="1:14" ht="18.75" x14ac:dyDescent="0.3">
      <c r="A176" s="32" t="s">
        <v>355</v>
      </c>
      <c r="B176" s="33" t="s">
        <v>308</v>
      </c>
      <c r="C176" s="34" t="s">
        <v>250</v>
      </c>
      <c r="D176" s="35">
        <v>3712</v>
      </c>
      <c r="E176" s="32" t="s">
        <v>348</v>
      </c>
      <c r="F176" s="32" t="s">
        <v>201</v>
      </c>
      <c r="G176" s="22">
        <v>45924</v>
      </c>
      <c r="H176" s="36">
        <v>46197</v>
      </c>
      <c r="I176" s="31">
        <v>610</v>
      </c>
      <c r="J176" s="37" t="s">
        <v>598</v>
      </c>
      <c r="K176" s="32" t="s">
        <v>599</v>
      </c>
      <c r="L176" s="38">
        <v>642.51</v>
      </c>
    </row>
    <row r="177" spans="1:14" ht="18.75" x14ac:dyDescent="0.3">
      <c r="A177" s="32" t="s">
        <v>355</v>
      </c>
      <c r="B177" s="33" t="s">
        <v>299</v>
      </c>
      <c r="C177" s="34" t="s">
        <v>244</v>
      </c>
      <c r="D177" s="35">
        <v>3713</v>
      </c>
      <c r="E177" s="32" t="s">
        <v>348</v>
      </c>
      <c r="F177" s="32" t="s">
        <v>394</v>
      </c>
      <c r="G177" s="22">
        <v>46040</v>
      </c>
      <c r="H177" s="36">
        <v>46220</v>
      </c>
      <c r="I177" s="31">
        <v>640</v>
      </c>
      <c r="J177" s="37" t="s">
        <v>669</v>
      </c>
      <c r="K177" s="32" t="s">
        <v>582</v>
      </c>
      <c r="L177" s="38">
        <v>706.76</v>
      </c>
      <c r="N177" t="s">
        <v>670</v>
      </c>
    </row>
    <row r="178" spans="1:14" ht="18.75" x14ac:dyDescent="0.3">
      <c r="A178" s="32" t="s">
        <v>353</v>
      </c>
      <c r="B178" s="33" t="s">
        <v>444</v>
      </c>
      <c r="C178" s="34" t="s">
        <v>253</v>
      </c>
      <c r="D178" s="35">
        <v>3725</v>
      </c>
      <c r="E178" s="32" t="s">
        <v>347</v>
      </c>
      <c r="F178" s="32" t="s">
        <v>198</v>
      </c>
      <c r="G178" s="42">
        <v>46073</v>
      </c>
      <c r="H178" s="36">
        <v>46253</v>
      </c>
      <c r="I178" s="31">
        <v>830</v>
      </c>
      <c r="J178" s="37" t="s">
        <v>706</v>
      </c>
      <c r="K178" s="32" t="s">
        <v>707</v>
      </c>
      <c r="L178" s="38">
        <v>1004.91</v>
      </c>
      <c r="N178" t="s">
        <v>708</v>
      </c>
    </row>
    <row r="179" spans="1:14" ht="18.75" x14ac:dyDescent="0.3">
      <c r="A179" s="32" t="s">
        <v>355</v>
      </c>
      <c r="B179" s="33" t="s">
        <v>611</v>
      </c>
      <c r="C179" s="34" t="s">
        <v>612</v>
      </c>
      <c r="D179" s="35">
        <v>3741</v>
      </c>
      <c r="E179" s="32" t="s">
        <v>348</v>
      </c>
      <c r="F179" s="32" t="s">
        <v>394</v>
      </c>
      <c r="G179" s="42">
        <v>46013</v>
      </c>
      <c r="H179" s="36">
        <v>46194</v>
      </c>
      <c r="I179" s="31">
        <v>60</v>
      </c>
      <c r="J179" s="37" t="s">
        <v>613</v>
      </c>
      <c r="K179" s="32" t="s">
        <v>614</v>
      </c>
      <c r="L179" s="38">
        <v>642.51</v>
      </c>
    </row>
    <row r="180" spans="1:14" ht="18.75" x14ac:dyDescent="0.3">
      <c r="A180" s="32" t="s">
        <v>353</v>
      </c>
      <c r="B180" s="33" t="s">
        <v>328</v>
      </c>
      <c r="C180" s="34" t="s">
        <v>733</v>
      </c>
      <c r="D180" s="35">
        <v>3749</v>
      </c>
      <c r="E180" s="32" t="s">
        <v>734</v>
      </c>
      <c r="F180" s="32" t="s">
        <v>185</v>
      </c>
      <c r="G180" s="42">
        <v>46049</v>
      </c>
      <c r="H180" s="36">
        <v>46229</v>
      </c>
      <c r="I180" s="31">
        <v>805</v>
      </c>
      <c r="J180" s="37" t="s">
        <v>719</v>
      </c>
      <c r="K180" s="32" t="s">
        <v>720</v>
      </c>
      <c r="L180" s="38">
        <v>1151.32</v>
      </c>
      <c r="N180" t="s">
        <v>721</v>
      </c>
    </row>
    <row r="181" spans="1:14" ht="18.75" x14ac:dyDescent="0.3">
      <c r="A181" s="32" t="s">
        <v>353</v>
      </c>
      <c r="B181" s="33" t="s">
        <v>328</v>
      </c>
      <c r="C181" s="34" t="s">
        <v>733</v>
      </c>
      <c r="D181" s="35">
        <v>3750</v>
      </c>
      <c r="E181" s="32" t="s">
        <v>734</v>
      </c>
      <c r="F181" s="32" t="s">
        <v>185</v>
      </c>
      <c r="G181" s="42">
        <v>46049</v>
      </c>
      <c r="H181" s="36">
        <v>46229</v>
      </c>
      <c r="I181" s="31">
        <v>805</v>
      </c>
      <c r="J181" s="37" t="s">
        <v>719</v>
      </c>
      <c r="K181" s="32" t="s">
        <v>720</v>
      </c>
      <c r="L181" s="38">
        <v>1151.32</v>
      </c>
      <c r="N181" t="s">
        <v>721</v>
      </c>
    </row>
  </sheetData>
  <mergeCells count="5">
    <mergeCell ref="G2:H2"/>
    <mergeCell ref="C2:E2"/>
    <mergeCell ref="A1:M1"/>
    <mergeCell ref="J2:K2"/>
    <mergeCell ref="A2:B2"/>
  </mergeCells>
  <conditionalFormatting sqref="H4:H181">
    <cfRule type="timePeriod" dxfId="0" priority="1" timePeriod="nextMonth">
      <formula>AND(MONTH(H4)=MONTH(EDATE(TODAY(),0+1)),YEAR(H4)=YEAR(EDATE(TODAY(),0+1)))</formula>
    </cfRule>
  </conditionalFormatting>
  <hyperlinks>
    <hyperlink ref="C18" r:id="rId1" xr:uid="{C57D908D-7969-40D1-B985-6C504215890E}"/>
    <hyperlink ref="C21" r:id="rId2" xr:uid="{7E173DC1-C06A-44DF-B131-B0E824026845}"/>
    <hyperlink ref="C17" r:id="rId3" xr:uid="{A1767487-697A-4772-9F49-3294535E862E}"/>
    <hyperlink ref="C15" r:id="rId4" xr:uid="{1AF35B4B-DCC2-442D-B68D-6CD5A8CD3E26}"/>
    <hyperlink ref="C31" r:id="rId5" xr:uid="{63D0802C-03E5-4C21-89F4-275B4C791C0A}"/>
    <hyperlink ref="C28" r:id="rId6" xr:uid="{05C4B949-F2DD-4AD2-A12B-0451A30992F5}"/>
    <hyperlink ref="C14" r:id="rId7" xr:uid="{C12E05C1-6483-4D7C-856C-C987426C7BF7}"/>
    <hyperlink ref="C13" r:id="rId8" xr:uid="{F2CE8D61-47AB-47F2-B424-7FF23020C34A}"/>
    <hyperlink ref="C40" r:id="rId9" xr:uid="{D2018054-357D-4C27-9BC7-F90CDB0D7E5E}"/>
    <hyperlink ref="C43" r:id="rId10" display="chad.boettcher@arcelormittal.com" xr:uid="{3BDDF56C-218A-4FF2-8A1C-D6F41D325A80}"/>
    <hyperlink ref="C42" r:id="rId11" xr:uid="{37C80067-A861-4A3C-8F7E-DF7A4C28CCF5}"/>
    <hyperlink ref="C44" r:id="rId12" xr:uid="{F670194D-2A95-43C8-B087-D800956EEAE6}"/>
    <hyperlink ref="C4" r:id="rId13" xr:uid="{6465B1B3-7F64-46B8-85E6-F7176B98E3A1}"/>
    <hyperlink ref="C39" r:id="rId14" xr:uid="{04993416-E61C-4B9F-BB5A-A3BE7F8B3616}"/>
    <hyperlink ref="C38" r:id="rId15" xr:uid="{E3B6801D-4D30-47EC-9AC1-7B86639F94F2}"/>
    <hyperlink ref="C53" r:id="rId16" xr:uid="{442663AB-7B23-4A56-96E4-CC5C587BC33D}"/>
    <hyperlink ref="C52" r:id="rId17" xr:uid="{6A73E809-A8B9-4147-B529-C34CF673DD93}"/>
    <hyperlink ref="C46" r:id="rId18" xr:uid="{3277EC4F-7E84-4B85-A972-020AF44F01DA}"/>
    <hyperlink ref="C61" r:id="rId19" xr:uid="{29581850-19DF-4C56-9807-DC6BA79631CD}"/>
    <hyperlink ref="C56" r:id="rId20" xr:uid="{ED7BCDD3-C865-4B17-954D-0CBE3829DE59}"/>
    <hyperlink ref="C45" r:id="rId21" xr:uid="{3FD4B28C-F23E-4DF5-B720-807B69B0EE6A}"/>
    <hyperlink ref="C51" r:id="rId22" xr:uid="{F857C5C8-FAC0-4892-BC23-8A6F1CBE3EEB}"/>
    <hyperlink ref="C64" r:id="rId23" xr:uid="{9C6E587A-6C71-4AC0-92BE-F357CC987377}"/>
    <hyperlink ref="C55" r:id="rId24" xr:uid="{F6E34B63-2977-481A-9847-14E298ADD504}"/>
    <hyperlink ref="C9" r:id="rId25" xr:uid="{4F26EB10-6E5B-4792-AEF0-EA8A02EE9155}"/>
    <hyperlink ref="C11" r:id="rId26" xr:uid="{3CDC417B-FBFE-4F1A-8B99-6923FE11ABC5}"/>
    <hyperlink ref="C66" r:id="rId27" xr:uid="{AF2F2736-0B6F-4834-AE77-81F39C164FFA}"/>
    <hyperlink ref="C65" r:id="rId28" xr:uid="{F20EBDEB-F524-45B8-81BA-4690DF13BF3D}"/>
    <hyperlink ref="C36" r:id="rId29" xr:uid="{E3A0538B-B489-475E-88D2-515B60181497}"/>
    <hyperlink ref="C22" r:id="rId30" xr:uid="{0F52C59D-D2D5-46BA-991E-E43FF9D838C4}"/>
    <hyperlink ref="C67" r:id="rId31" xr:uid="{D3737C40-10F8-47FE-8A73-497D1DC99270}"/>
    <hyperlink ref="C70" r:id="rId32" xr:uid="{AF03D275-B847-4921-B068-50F218071D07}"/>
    <hyperlink ref="C69" r:id="rId33" xr:uid="{03971DF4-384E-4970-ADE8-19D4C95F4796}"/>
    <hyperlink ref="C68" r:id="rId34" xr:uid="{62B74225-8647-4BF2-BB23-BADEC5903F9D}"/>
    <hyperlink ref="C72" r:id="rId35" xr:uid="{3955EEDD-220B-4B2D-BC98-A36D010FDE99}"/>
    <hyperlink ref="C23" r:id="rId36" xr:uid="{59EEF418-830B-4410-A97B-C7D5D2E68DB3}"/>
    <hyperlink ref="C25" r:id="rId37" xr:uid="{5B73E5E7-1E60-4711-BD4F-764F950020EA}"/>
    <hyperlink ref="C24" r:id="rId38" xr:uid="{575E1B39-24DF-4B31-9FF7-C075D3BC1CA8}"/>
    <hyperlink ref="C10" r:id="rId39" xr:uid="{54727B4F-10A3-4870-97D2-520B29E62591}"/>
    <hyperlink ref="C71" r:id="rId40" xr:uid="{DD896FB1-AA36-4193-9153-C438A257EB69}"/>
    <hyperlink ref="C35" r:id="rId41" xr:uid="{C30BD488-E1FC-49BB-909D-33DFF901D889}"/>
    <hyperlink ref="C74" r:id="rId42" xr:uid="{FFA223BD-7F5A-4115-9085-0AE69DF4B68A}"/>
    <hyperlink ref="C76" r:id="rId43" xr:uid="{11EC0936-A2AE-4937-BD5C-451D2070ED64}"/>
    <hyperlink ref="C19" r:id="rId44" xr:uid="{55205221-3F13-4E2B-B022-19EF899AE6EF}"/>
    <hyperlink ref="C75" r:id="rId45" xr:uid="{729FC695-B9EA-4339-AB8B-D61897C44AA7}"/>
    <hyperlink ref="C77" r:id="rId46" xr:uid="{B2B4DF0F-9463-45B3-80C4-DE7745F86CFA}"/>
    <hyperlink ref="C79" r:id="rId47" xr:uid="{DD117431-FF04-4D3A-9556-EC03189246B2}"/>
    <hyperlink ref="C12" r:id="rId48" display="michael.scarsella@clevelandcliffs.com" xr:uid="{1737A014-EF81-4A16-A54A-84DCED85A8E9}"/>
    <hyperlink ref="C7" r:id="rId49" xr:uid="{B06CEB36-6730-48C5-BC87-820ADBA6F620}"/>
    <hyperlink ref="C59" r:id="rId50" xr:uid="{178F3A68-AD93-4765-8E2A-1A157E9124D8}"/>
    <hyperlink ref="C81" r:id="rId51" xr:uid="{DC876BAB-B84B-4409-8E41-1E668126D16E}"/>
    <hyperlink ref="C32" r:id="rId52" xr:uid="{7066D81A-2644-405A-A077-5009C7E33109}"/>
    <hyperlink ref="C58" r:id="rId53" xr:uid="{DE03B916-687D-4B43-8C0D-210E8732C9F5}"/>
    <hyperlink ref="C29" r:id="rId54" xr:uid="{F3FE6F9B-1527-4D43-A2E1-F5E5E41B05E5}"/>
    <hyperlink ref="C60" r:id="rId55" xr:uid="{C200E62E-5F86-4D67-A797-AAD86EC42C1C}"/>
    <hyperlink ref="C41" r:id="rId56" xr:uid="{CA4926C4-CC40-4162-870B-297E98141E31}"/>
    <hyperlink ref="C34" r:id="rId57" xr:uid="{B1C1F5E7-3843-40EC-867C-E6AA59951626}"/>
    <hyperlink ref="C37" r:id="rId58" xr:uid="{4112C907-97E8-4204-A061-688C34AF2CEC}"/>
    <hyperlink ref="C48" r:id="rId59" xr:uid="{5C72841C-7AC4-4585-A178-8671043E397F}"/>
    <hyperlink ref="C82" r:id="rId60" xr:uid="{47962917-3512-492B-B6FB-11E81519050E}"/>
    <hyperlink ref="C63" r:id="rId61" xr:uid="{73740ACF-9289-4462-9F88-24C891004272}"/>
    <hyperlink ref="C78" r:id="rId62" xr:uid="{CF88494B-3762-4A90-B459-BCC62015D38F}"/>
    <hyperlink ref="C20" r:id="rId63" xr:uid="{E2AE550D-D66B-4308-93CB-B291C8EE1343}"/>
    <hyperlink ref="C89" r:id="rId64" xr:uid="{59322B18-B4F6-4ED6-804E-32FC8CAC3AED}"/>
    <hyperlink ref="C57" r:id="rId65" xr:uid="{02172F21-366C-4EDC-80EF-340EC8B7DB60}"/>
    <hyperlink ref="C6" r:id="rId66" xr:uid="{7971E8CE-43E4-4DA2-B59D-D01E841F4ED0}"/>
    <hyperlink ref="C27" r:id="rId67" xr:uid="{574DECF3-185B-4297-A923-A1F27039E91B}"/>
    <hyperlink ref="C50" r:id="rId68" xr:uid="{B451368E-B0B4-458A-A2AE-35346C3CF450}"/>
    <hyperlink ref="C8" r:id="rId69" xr:uid="{ABE084F4-40EE-4B86-A518-209FB81158B9}"/>
    <hyperlink ref="C88" r:id="rId70" xr:uid="{8788EBD6-0AAB-4F2C-BF94-07EE02609AB5}"/>
    <hyperlink ref="C54" r:id="rId71" xr:uid="{88B770F2-C28B-4637-B64F-7314E1357D0A}"/>
    <hyperlink ref="C94" r:id="rId72" xr:uid="{D0C85E02-EEA2-4C51-987C-0F5E2B5E85A6}"/>
    <hyperlink ref="C97" r:id="rId73" xr:uid="{BF2606FA-B8DE-41DC-8743-E9DAFF03880B}"/>
    <hyperlink ref="C103" r:id="rId74" xr:uid="{6A9842D2-272F-4613-B4F4-6C06663699E3}"/>
    <hyperlink ref="C101" r:id="rId75" xr:uid="{3ECD1DC3-080E-430F-B244-86EBE7605001}"/>
    <hyperlink ref="C100" r:id="rId76" xr:uid="{68895887-B82A-45AB-BD4F-67E058B0540C}"/>
    <hyperlink ref="C102" r:id="rId77" xr:uid="{C06633B4-94D9-43EF-AB0F-045184BA7209}"/>
    <hyperlink ref="C96" r:id="rId78" xr:uid="{06A6840F-E8A6-4CF6-801E-92343741F3FD}"/>
    <hyperlink ref="C99" r:id="rId79" xr:uid="{A18EC2A7-A3B4-4A26-AAD0-33D0DAD0B568}"/>
    <hyperlink ref="C104" r:id="rId80" xr:uid="{24631096-D219-4E90-909A-42C244312C0F}"/>
    <hyperlink ref="C62" r:id="rId81" xr:uid="{F4BE3287-6DE9-4FE5-AB82-D4EDFA0A1CC5}"/>
    <hyperlink ref="C80" r:id="rId82" xr:uid="{560E5BAD-83CD-415C-89C7-C0184D8BC979}"/>
    <hyperlink ref="C85" r:id="rId83" xr:uid="{228B0D9C-EB2C-41E8-B0C5-0715F69E0CCA}"/>
    <hyperlink ref="C92" r:id="rId84" xr:uid="{00BB3131-A9FB-4722-9BB6-85FF6146FBF2}"/>
    <hyperlink ref="C87" r:id="rId85" xr:uid="{67C55599-891E-4E6E-BA11-32075A2C4788}"/>
    <hyperlink ref="C30" r:id="rId86" xr:uid="{04AED71C-0BAA-4AAE-AEFF-5AE67FBFE079}"/>
    <hyperlink ref="C5" r:id="rId87" xr:uid="{3F72E39B-FAAD-444E-84F5-B9D972FB3931}"/>
    <hyperlink ref="C115" r:id="rId88" xr:uid="{2176B232-A541-4767-89C9-1FAE8DC71B32}"/>
    <hyperlink ref="C109" r:id="rId89" xr:uid="{95DC5B70-92A6-44A3-A087-47D2BEFE50F5}"/>
    <hyperlink ref="C108" r:id="rId90" xr:uid="{08F22918-B2E7-4A48-956F-7443081C6A1F}"/>
    <hyperlink ref="C93" r:id="rId91" xr:uid="{B2A247ED-3FFF-4EE1-8878-2D9B88B9B90C}"/>
    <hyperlink ref="C116" r:id="rId92" xr:uid="{921E0FE7-60C3-4C2E-A73B-0666E99BB954}"/>
    <hyperlink ref="C98" r:id="rId93" xr:uid="{C7F83B16-6D81-41F1-B9CD-F93BF4EA6A0D}"/>
    <hyperlink ref="C86" r:id="rId94" xr:uid="{CC11C94F-903D-4725-83B1-95BF2967A31C}"/>
    <hyperlink ref="C124" r:id="rId95" xr:uid="{22CB40EE-62E8-4F64-9F53-4B381377FA03}"/>
    <hyperlink ref="C127" r:id="rId96" xr:uid="{D8019BEB-E120-471A-9071-6535CDD59D86}"/>
    <hyperlink ref="C121" r:id="rId97" xr:uid="{683F31FB-6C95-4F1D-A5DD-6EB18462AB9F}"/>
    <hyperlink ref="C122" r:id="rId98" xr:uid="{EB3F8176-9CC5-4633-84D8-6BA28ADA4817}"/>
    <hyperlink ref="C132" r:id="rId99" xr:uid="{38C4F77E-4E27-40D2-B794-C00C9943D9D2}"/>
    <hyperlink ref="C111" r:id="rId100" display="gary.kinny@clevelandcliffs.com" xr:uid="{70BC5F20-31A1-446E-8B85-D0151FE3A8CD}"/>
    <hyperlink ref="C107" r:id="rId101" xr:uid="{FE2DF7C8-E0A8-43CF-88DE-007EFEF6612C}"/>
    <hyperlink ref="C130" r:id="rId102" xr:uid="{D6FC4A08-9367-4214-933D-27F27A1B68A1}"/>
    <hyperlink ref="C131" r:id="rId103" xr:uid="{7AF48074-8C3B-4B70-9609-ADA4C80A35E5}"/>
    <hyperlink ref="C90" r:id="rId104" xr:uid="{A7BA5CF8-BC22-4BDA-AEF2-911C58B14DE8}"/>
    <hyperlink ref="C133" r:id="rId105" xr:uid="{5DDF4E44-C2B1-40D5-A109-2DB3A7021CC3}"/>
    <hyperlink ref="C112" r:id="rId106" xr:uid="{62EAF4CD-21FB-463C-9E22-8D45E044EE01}"/>
    <hyperlink ref="C113" r:id="rId107" xr:uid="{545A5C0A-B35E-46C7-855B-BF71B97D9575}"/>
    <hyperlink ref="C137" r:id="rId108" xr:uid="{A938A75A-D798-4DFE-9ACB-3D7370488401}"/>
    <hyperlink ref="C138" r:id="rId109" xr:uid="{4EB51497-5DA7-4DF5-A140-782D5993749B}"/>
    <hyperlink ref="C139" r:id="rId110" xr:uid="{65E80C9F-F735-4456-B1A2-C842801239B9}"/>
    <hyperlink ref="C126" r:id="rId111" xr:uid="{6830C4E7-78D7-4D87-A2D6-9D99F64726EC}"/>
    <hyperlink ref="C91" r:id="rId112" xr:uid="{3E4089B0-3F32-4AAF-A8AF-1297F0C43E22}"/>
    <hyperlink ref="C106" r:id="rId113" xr:uid="{71461A18-4354-4720-885F-A92DBC9F569F}"/>
    <hyperlink ref="C144" r:id="rId114" xr:uid="{39AEC5A5-0DB8-4D3C-B6A7-CDBAE3DB0C1C}"/>
    <hyperlink ref="C145" r:id="rId115" xr:uid="{48024C0F-8FBF-437C-97AB-6C06B11F7FC2}"/>
    <hyperlink ref="C49" r:id="rId116" xr:uid="{10BA38EE-5494-4C10-98F2-8FCFB9E2310C}"/>
    <hyperlink ref="C16" r:id="rId117" xr:uid="{7B8DE9A7-4FF9-48B4-BF17-FD7AD0A89321}"/>
    <hyperlink ref="C143" r:id="rId118" xr:uid="{47011417-A7DA-4EE3-AA0F-D27382557FAB}"/>
    <hyperlink ref="C142" r:id="rId119" xr:uid="{578F8F2A-D244-46F1-9984-B1556D270B00}"/>
    <hyperlink ref="C117" r:id="rId120" xr:uid="{9DF09B90-DE45-496D-A4B1-0282C5C7D856}"/>
    <hyperlink ref="C26" r:id="rId121" xr:uid="{C6C4C936-A2FF-4633-A685-C65812708931}"/>
    <hyperlink ref="C148" r:id="rId122" xr:uid="{9F7A34CB-1110-4596-B773-9D1297C223C2}"/>
    <hyperlink ref="C149" r:id="rId123" xr:uid="{4B2A7602-0A91-4B34-B432-F4F7B83F95A4}"/>
    <hyperlink ref="C33" r:id="rId124" xr:uid="{A8E3BE0B-92D4-4CF5-90FD-E767F8D5681E}"/>
    <hyperlink ref="C105" r:id="rId125" xr:uid="{FC4D3650-8C6A-4558-903A-0C0FD9F3CEFE}"/>
    <hyperlink ref="C84" r:id="rId126" xr:uid="{116B130E-27DA-43D5-9791-1B8BD8E53099}"/>
    <hyperlink ref="C146" r:id="rId127" xr:uid="{3EEA07DE-A740-4E2A-886F-E7ED2164E5B7}"/>
    <hyperlink ref="C151" r:id="rId128" xr:uid="{9FD02080-D529-4D88-AFF2-7A5E3661D125}"/>
    <hyperlink ref="C153" r:id="rId129" xr:uid="{8E2CAB52-24D6-4AA6-B331-F7D76B41B192}"/>
    <hyperlink ref="C136" r:id="rId130" xr:uid="{4F9E02A6-0C0B-4826-8FCC-A616DF8FDDC9}"/>
    <hyperlink ref="C125" r:id="rId131" xr:uid="{AD2BE8BD-8F97-461E-9C18-D718F453E698}"/>
    <hyperlink ref="C141" r:id="rId132" xr:uid="{05C2FAE6-9F6C-4822-9BC4-95E5E0FBDC62}"/>
    <hyperlink ref="C147" r:id="rId133" xr:uid="{F2B5C10C-2917-403D-966A-8C5024F744D8}"/>
    <hyperlink ref="C135" r:id="rId134" xr:uid="{0BC8CFDA-257C-46ED-BEC8-D35EDC32BB6C}"/>
    <hyperlink ref="C152" r:id="rId135" xr:uid="{7F925920-3D2F-40BC-A92A-9AB0D33289DF}"/>
    <hyperlink ref="C123" r:id="rId136" xr:uid="{26D08B44-6768-4BBE-A5DA-B8A9D131C25A}"/>
    <hyperlink ref="C160" r:id="rId137" xr:uid="{6C151F1D-9077-4745-B1B5-BA667AAD2538}"/>
    <hyperlink ref="C150" r:id="rId138" xr:uid="{1C169C66-F2A0-422D-86F9-E770D1E8B194}"/>
    <hyperlink ref="C159" r:id="rId139" xr:uid="{C9995514-6CC6-4B26-A1C5-D50AC7A8B41D}"/>
    <hyperlink ref="C156" r:id="rId140" xr:uid="{618C0A1D-EF48-48C7-8B19-55D276D2F7F9}"/>
    <hyperlink ref="C163" r:id="rId141" xr:uid="{17B38AE3-8B59-4BE4-A0A8-A29182194531}"/>
    <hyperlink ref="C166" r:id="rId142" xr:uid="{4F3DDA1E-41BE-4DA9-AA50-72F3E8F690CD}"/>
    <hyperlink ref="C162" r:id="rId143" xr:uid="{5B8B3C46-AB0C-4BAF-8835-CD836F96EB59}"/>
    <hyperlink ref="C140" r:id="rId144" xr:uid="{9A984962-CD51-4D32-A637-50F798E02375}"/>
    <hyperlink ref="C171" r:id="rId145" xr:uid="{DBC1D790-BF4F-4F69-97D5-D032C2F33883}"/>
    <hyperlink ref="C157" r:id="rId146" xr:uid="{121087D1-8FBE-4F41-B7C7-EE01B179423B}"/>
    <hyperlink ref="C158" r:id="rId147" xr:uid="{7177F47C-26C7-4A0B-808D-84456EC63672}"/>
    <hyperlink ref="C176" r:id="rId148" xr:uid="{2F5D3F8C-C165-4F0B-A046-6DFE15892A80}"/>
    <hyperlink ref="C167" r:id="rId149" xr:uid="{3E41CA0E-AD3A-4259-946B-307462F68E37}"/>
    <hyperlink ref="C161" r:id="rId150" xr:uid="{93E6E413-1ACB-4B24-86C2-55E0281DD376}"/>
    <hyperlink ref="C134" r:id="rId151" xr:uid="{227DFCDD-E960-4859-BDD5-822154F211DB}"/>
    <hyperlink ref="C155" r:id="rId152" xr:uid="{2E717E49-4774-4304-B787-3AB31C604753}"/>
    <hyperlink ref="C110" r:id="rId153" xr:uid="{32A7FE89-A3FD-48BB-A4DC-61DAFA3FBF7C}"/>
    <hyperlink ref="C177" r:id="rId154" xr:uid="{EDAED7E2-6466-4116-9C17-8CF37A8B2016}"/>
    <hyperlink ref="C175" r:id="rId155" xr:uid="{EDDFC9D3-6089-4499-9FFF-0AED6C096687}"/>
    <hyperlink ref="C173" r:id="rId156" xr:uid="{01E10AB7-DC2F-49BE-9BAD-3164397DE978}"/>
    <hyperlink ref="C178" r:id="rId157" xr:uid="{071A8625-FB53-40F1-9E1D-FEB7281F871F}"/>
    <hyperlink ref="C83" r:id="rId158" xr:uid="{131C23E2-18CB-4329-9C2F-7E9D56965160}"/>
    <hyperlink ref="C95" r:id="rId159" xr:uid="{84B82D6B-7604-4AC0-B16F-DD618189B6A2}"/>
    <hyperlink ref="C47" r:id="rId160" xr:uid="{7DB53814-91F8-45EF-95FD-F27ADB97FD1F}"/>
    <hyperlink ref="C164" r:id="rId161" xr:uid="{515AA4F3-723C-45E0-BFA6-A566FD91523A}"/>
    <hyperlink ref="C168" r:id="rId162" xr:uid="{CF855978-6B12-4C5F-88FC-A78AD94D2A7A}"/>
    <hyperlink ref="C165" r:id="rId163" xr:uid="{841BF0B8-C46F-49E6-9ECF-58E46DE91BE1}"/>
    <hyperlink ref="C174" r:id="rId164" xr:uid="{DD1163CC-D589-4FE4-9319-8A6B24649A65}"/>
    <hyperlink ref="C114" r:id="rId165" xr:uid="{2CAFA013-3866-48BC-958B-67A18A33D61D}"/>
    <hyperlink ref="C154" r:id="rId166" xr:uid="{1D9CE3ED-54ED-4598-A31E-54C190A44734}"/>
    <hyperlink ref="C119" r:id="rId167" xr:uid="{A98B04DF-8377-4F7F-8790-2E63FE02DB76}"/>
    <hyperlink ref="C128" r:id="rId168" xr:uid="{EEF34CF4-D96F-4CFD-8959-9494EEF31C57}"/>
    <hyperlink ref="C179" r:id="rId169" xr:uid="{D593EC5A-C933-4527-BDDD-6389C44FA4BB}"/>
    <hyperlink ref="C129" r:id="rId170" xr:uid="{BB6A9E82-AD4C-4C72-8422-50B06625CB0E}"/>
    <hyperlink ref="C172" r:id="rId171" xr:uid="{21990805-E96D-4018-9920-C31999C03E72}"/>
    <hyperlink ref="C118" r:id="rId172" xr:uid="{0931C9D7-BBBB-4A18-8CFA-1ACA48054505}"/>
    <hyperlink ref="C73" r:id="rId173" xr:uid="{65D33B70-449F-46F5-8E2C-1FF4AEAA40C3}"/>
  </hyperlinks>
  <pageMargins left="0.7" right="0.7" top="0.75" bottom="0.75" header="0.3" footer="0.3"/>
  <pageSetup orientation="portrait" r:id="rId174"/>
  <tableParts count="1">
    <tablePart r:id="rId175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xr:uid="{7D1C129B-E315-4F3F-A827-9970D9C9FC3E}">
          <x14:formula1>
            <xm:f>Dropdowns!$A$2:$A$33</xm:f>
          </x14:formula1>
          <xm:sqref>C2:E2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73B27-58E7-4718-AF31-31E95E030AA4}">
  <dimension ref="A1:B101"/>
  <sheetViews>
    <sheetView topLeftCell="A11" workbookViewId="0">
      <selection activeCell="N4" sqref="N4"/>
    </sheetView>
  </sheetViews>
  <sheetFormatPr defaultRowHeight="15" x14ac:dyDescent="0.25"/>
  <cols>
    <col min="1" max="1" width="18.140625" bestFit="1" customWidth="1"/>
  </cols>
  <sheetData>
    <row r="1" spans="1:2" x14ac:dyDescent="0.25">
      <c r="A1" s="1" t="s">
        <v>13</v>
      </c>
      <c r="B1" s="11" t="s">
        <v>21</v>
      </c>
    </row>
    <row r="2" spans="1:2" x14ac:dyDescent="0.25">
      <c r="A2" s="1"/>
    </row>
    <row r="3" spans="1:2" x14ac:dyDescent="0.25">
      <c r="A3" s="12" t="s">
        <v>143</v>
      </c>
      <c r="B3" t="s">
        <v>22</v>
      </c>
    </row>
    <row r="4" spans="1:2" x14ac:dyDescent="0.25">
      <c r="A4" s="12" t="s">
        <v>128</v>
      </c>
      <c r="B4" t="s">
        <v>23</v>
      </c>
    </row>
    <row r="5" spans="1:2" x14ac:dyDescent="0.25">
      <c r="A5" s="12" t="s">
        <v>125</v>
      </c>
      <c r="B5" t="s">
        <v>24</v>
      </c>
    </row>
    <row r="6" spans="1:2" x14ac:dyDescent="0.25">
      <c r="A6" s="12" t="s">
        <v>16</v>
      </c>
      <c r="B6" t="s">
        <v>25</v>
      </c>
    </row>
    <row r="7" spans="1:2" x14ac:dyDescent="0.25">
      <c r="A7" s="12" t="s">
        <v>146</v>
      </c>
      <c r="B7" t="s">
        <v>26</v>
      </c>
    </row>
    <row r="8" spans="1:2" x14ac:dyDescent="0.25">
      <c r="A8" s="12" t="s">
        <v>15</v>
      </c>
      <c r="B8" t="s">
        <v>27</v>
      </c>
    </row>
    <row r="9" spans="1:2" x14ac:dyDescent="0.25">
      <c r="A9" s="12" t="s">
        <v>133</v>
      </c>
      <c r="B9" t="s">
        <v>28</v>
      </c>
    </row>
    <row r="10" spans="1:2" x14ac:dyDescent="0.25">
      <c r="A10" s="12" t="s">
        <v>132</v>
      </c>
      <c r="B10" t="s">
        <v>29</v>
      </c>
    </row>
    <row r="11" spans="1:2" x14ac:dyDescent="0.25">
      <c r="A11" s="12" t="s">
        <v>130</v>
      </c>
      <c r="B11" t="s">
        <v>30</v>
      </c>
    </row>
    <row r="12" spans="1:2" x14ac:dyDescent="0.25">
      <c r="A12" s="12" t="s">
        <v>124</v>
      </c>
      <c r="B12" t="s">
        <v>31</v>
      </c>
    </row>
    <row r="13" spans="1:2" x14ac:dyDescent="0.25">
      <c r="A13" s="12" t="s">
        <v>127</v>
      </c>
      <c r="B13" t="s">
        <v>32</v>
      </c>
    </row>
    <row r="14" spans="1:2" x14ac:dyDescent="0.25">
      <c r="A14" s="12" t="s">
        <v>129</v>
      </c>
      <c r="B14" t="s">
        <v>33</v>
      </c>
    </row>
    <row r="15" spans="1:2" x14ac:dyDescent="0.25">
      <c r="A15" s="12" t="s">
        <v>138</v>
      </c>
      <c r="B15" t="s">
        <v>34</v>
      </c>
    </row>
    <row r="16" spans="1:2" x14ac:dyDescent="0.25">
      <c r="A16" s="12" t="s">
        <v>122</v>
      </c>
      <c r="B16" t="s">
        <v>35</v>
      </c>
    </row>
    <row r="17" spans="1:2" x14ac:dyDescent="0.25">
      <c r="A17" s="12" t="s">
        <v>134</v>
      </c>
      <c r="B17" t="s">
        <v>36</v>
      </c>
    </row>
    <row r="18" spans="1:2" x14ac:dyDescent="0.25">
      <c r="A18" s="12" t="s">
        <v>144</v>
      </c>
      <c r="B18" t="s">
        <v>37</v>
      </c>
    </row>
    <row r="19" spans="1:2" x14ac:dyDescent="0.25">
      <c r="A19" s="12" t="s">
        <v>147</v>
      </c>
      <c r="B19" t="s">
        <v>38</v>
      </c>
    </row>
    <row r="20" spans="1:2" x14ac:dyDescent="0.25">
      <c r="A20" s="12" t="s">
        <v>140</v>
      </c>
      <c r="B20" t="s">
        <v>39</v>
      </c>
    </row>
    <row r="21" spans="1:2" x14ac:dyDescent="0.25">
      <c r="A21" s="12" t="s">
        <v>149</v>
      </c>
      <c r="B21" t="s">
        <v>40</v>
      </c>
    </row>
    <row r="22" spans="1:2" x14ac:dyDescent="0.25">
      <c r="A22" s="12" t="s">
        <v>126</v>
      </c>
      <c r="B22" t="s">
        <v>41</v>
      </c>
    </row>
    <row r="23" spans="1:2" x14ac:dyDescent="0.25">
      <c r="A23" s="12" t="s">
        <v>142</v>
      </c>
      <c r="B23" t="s">
        <v>42</v>
      </c>
    </row>
    <row r="24" spans="1:2" x14ac:dyDescent="0.25">
      <c r="A24" s="12" t="s">
        <v>135</v>
      </c>
      <c r="B24" t="s">
        <v>43</v>
      </c>
    </row>
    <row r="25" spans="1:2" x14ac:dyDescent="0.25">
      <c r="A25" s="12" t="s">
        <v>123</v>
      </c>
      <c r="B25" t="s">
        <v>44</v>
      </c>
    </row>
    <row r="26" spans="1:2" x14ac:dyDescent="0.25">
      <c r="A26" s="12" t="s">
        <v>137</v>
      </c>
      <c r="B26" t="s">
        <v>45</v>
      </c>
    </row>
    <row r="27" spans="1:2" x14ac:dyDescent="0.25">
      <c r="A27" s="12" t="s">
        <v>141</v>
      </c>
      <c r="B27" t="s">
        <v>46</v>
      </c>
    </row>
    <row r="28" spans="1:2" x14ac:dyDescent="0.25">
      <c r="A28" s="12" t="s">
        <v>136</v>
      </c>
      <c r="B28" t="s">
        <v>47</v>
      </c>
    </row>
    <row r="29" spans="1:2" x14ac:dyDescent="0.25">
      <c r="A29" s="12" t="s">
        <v>139</v>
      </c>
      <c r="B29" t="s">
        <v>48</v>
      </c>
    </row>
    <row r="30" spans="1:2" x14ac:dyDescent="0.25">
      <c r="A30" s="12" t="s">
        <v>145</v>
      </c>
      <c r="B30" t="s">
        <v>49</v>
      </c>
    </row>
    <row r="31" spans="1:2" x14ac:dyDescent="0.25">
      <c r="A31" s="12" t="s">
        <v>131</v>
      </c>
      <c r="B31" t="s">
        <v>50</v>
      </c>
    </row>
    <row r="32" spans="1:2" x14ac:dyDescent="0.25">
      <c r="A32" s="12" t="s">
        <v>148</v>
      </c>
      <c r="B32" t="s">
        <v>51</v>
      </c>
    </row>
    <row r="33" spans="1:2" x14ac:dyDescent="0.25">
      <c r="A33" s="12" t="s">
        <v>121</v>
      </c>
      <c r="B33" t="s">
        <v>52</v>
      </c>
    </row>
    <row r="34" spans="1:2" x14ac:dyDescent="0.25">
      <c r="B34" t="s">
        <v>53</v>
      </c>
    </row>
    <row r="35" spans="1:2" x14ac:dyDescent="0.25">
      <c r="B35" t="s">
        <v>54</v>
      </c>
    </row>
    <row r="36" spans="1:2" x14ac:dyDescent="0.25">
      <c r="B36" t="s">
        <v>55</v>
      </c>
    </row>
    <row r="37" spans="1:2" x14ac:dyDescent="0.25">
      <c r="B37" t="s">
        <v>56</v>
      </c>
    </row>
    <row r="38" spans="1:2" x14ac:dyDescent="0.25">
      <c r="B38" t="s">
        <v>57</v>
      </c>
    </row>
    <row r="39" spans="1:2" x14ac:dyDescent="0.25">
      <c r="B39" t="s">
        <v>58</v>
      </c>
    </row>
    <row r="40" spans="1:2" x14ac:dyDescent="0.25">
      <c r="B40" t="s">
        <v>59</v>
      </c>
    </row>
    <row r="41" spans="1:2" x14ac:dyDescent="0.25">
      <c r="B41" t="s">
        <v>60</v>
      </c>
    </row>
    <row r="42" spans="1:2" x14ac:dyDescent="0.25">
      <c r="B42" t="s">
        <v>61</v>
      </c>
    </row>
    <row r="43" spans="1:2" x14ac:dyDescent="0.25">
      <c r="B43" t="s">
        <v>62</v>
      </c>
    </row>
    <row r="44" spans="1:2" x14ac:dyDescent="0.25">
      <c r="B44" t="s">
        <v>63</v>
      </c>
    </row>
    <row r="45" spans="1:2" x14ac:dyDescent="0.25">
      <c r="B45" t="s">
        <v>64</v>
      </c>
    </row>
    <row r="46" spans="1:2" x14ac:dyDescent="0.25">
      <c r="B46" t="s">
        <v>65</v>
      </c>
    </row>
    <row r="47" spans="1:2" x14ac:dyDescent="0.25">
      <c r="B47" t="s">
        <v>66</v>
      </c>
    </row>
    <row r="48" spans="1:2" x14ac:dyDescent="0.25">
      <c r="B48" t="s">
        <v>67</v>
      </c>
    </row>
    <row r="49" spans="2:2" x14ac:dyDescent="0.25">
      <c r="B49" t="s">
        <v>68</v>
      </c>
    </row>
    <row r="50" spans="2:2" x14ac:dyDescent="0.25">
      <c r="B50" t="s">
        <v>69</v>
      </c>
    </row>
    <row r="51" spans="2:2" x14ac:dyDescent="0.25">
      <c r="B51" t="s">
        <v>70</v>
      </c>
    </row>
    <row r="52" spans="2:2" x14ac:dyDescent="0.25">
      <c r="B52" t="s">
        <v>71</v>
      </c>
    </row>
    <row r="53" spans="2:2" x14ac:dyDescent="0.25">
      <c r="B53" t="s">
        <v>72</v>
      </c>
    </row>
    <row r="54" spans="2:2" x14ac:dyDescent="0.25">
      <c r="B54" t="s">
        <v>73</v>
      </c>
    </row>
    <row r="55" spans="2:2" x14ac:dyDescent="0.25">
      <c r="B55" t="s">
        <v>74</v>
      </c>
    </row>
    <row r="56" spans="2:2" x14ac:dyDescent="0.25">
      <c r="B56" t="s">
        <v>75</v>
      </c>
    </row>
    <row r="57" spans="2:2" x14ac:dyDescent="0.25">
      <c r="B57" t="s">
        <v>76</v>
      </c>
    </row>
    <row r="58" spans="2:2" x14ac:dyDescent="0.25">
      <c r="B58" t="s">
        <v>77</v>
      </c>
    </row>
    <row r="59" spans="2:2" x14ac:dyDescent="0.25">
      <c r="B59" t="s">
        <v>78</v>
      </c>
    </row>
    <row r="60" spans="2:2" x14ac:dyDescent="0.25">
      <c r="B60" t="s">
        <v>79</v>
      </c>
    </row>
    <row r="61" spans="2:2" x14ac:dyDescent="0.25">
      <c r="B61" t="s">
        <v>80</v>
      </c>
    </row>
    <row r="62" spans="2:2" x14ac:dyDescent="0.25">
      <c r="B62" t="s">
        <v>81</v>
      </c>
    </row>
    <row r="63" spans="2:2" x14ac:dyDescent="0.25">
      <c r="B63" t="s">
        <v>82</v>
      </c>
    </row>
    <row r="64" spans="2:2" x14ac:dyDescent="0.25">
      <c r="B64" t="s">
        <v>83</v>
      </c>
    </row>
    <row r="65" spans="2:2" x14ac:dyDescent="0.25">
      <c r="B65" t="s">
        <v>84</v>
      </c>
    </row>
    <row r="66" spans="2:2" x14ac:dyDescent="0.25">
      <c r="B66" t="s">
        <v>85</v>
      </c>
    </row>
    <row r="67" spans="2:2" x14ac:dyDescent="0.25">
      <c r="B67" t="s">
        <v>86</v>
      </c>
    </row>
    <row r="68" spans="2:2" x14ac:dyDescent="0.25">
      <c r="B68" t="s">
        <v>87</v>
      </c>
    </row>
    <row r="69" spans="2:2" x14ac:dyDescent="0.25">
      <c r="B69" t="s">
        <v>88</v>
      </c>
    </row>
    <row r="70" spans="2:2" x14ac:dyDescent="0.25">
      <c r="B70" t="s">
        <v>89</v>
      </c>
    </row>
    <row r="71" spans="2:2" x14ac:dyDescent="0.25">
      <c r="B71" t="s">
        <v>90</v>
      </c>
    </row>
    <row r="72" spans="2:2" x14ac:dyDescent="0.25">
      <c r="B72" t="s">
        <v>91</v>
      </c>
    </row>
    <row r="73" spans="2:2" x14ac:dyDescent="0.25">
      <c r="B73" t="s">
        <v>92</v>
      </c>
    </row>
    <row r="74" spans="2:2" x14ac:dyDescent="0.25">
      <c r="B74" t="s">
        <v>93</v>
      </c>
    </row>
    <row r="75" spans="2:2" x14ac:dyDescent="0.25">
      <c r="B75" t="s">
        <v>94</v>
      </c>
    </row>
    <row r="76" spans="2:2" x14ac:dyDescent="0.25">
      <c r="B76" t="s">
        <v>95</v>
      </c>
    </row>
    <row r="77" spans="2:2" x14ac:dyDescent="0.25">
      <c r="B77" t="s">
        <v>96</v>
      </c>
    </row>
    <row r="78" spans="2:2" x14ac:dyDescent="0.25">
      <c r="B78" t="s">
        <v>97</v>
      </c>
    </row>
    <row r="79" spans="2:2" x14ac:dyDescent="0.25">
      <c r="B79" t="s">
        <v>98</v>
      </c>
    </row>
    <row r="80" spans="2:2" x14ac:dyDescent="0.25">
      <c r="B80" t="s">
        <v>99</v>
      </c>
    </row>
    <row r="81" spans="2:2" x14ac:dyDescent="0.25">
      <c r="B81" t="s">
        <v>100</v>
      </c>
    </row>
    <row r="82" spans="2:2" x14ac:dyDescent="0.25">
      <c r="B82" t="s">
        <v>101</v>
      </c>
    </row>
    <row r="83" spans="2:2" x14ac:dyDescent="0.25">
      <c r="B83" t="s">
        <v>102</v>
      </c>
    </row>
    <row r="84" spans="2:2" x14ac:dyDescent="0.25">
      <c r="B84" t="s">
        <v>103</v>
      </c>
    </row>
    <row r="85" spans="2:2" x14ac:dyDescent="0.25">
      <c r="B85" t="s">
        <v>104</v>
      </c>
    </row>
    <row r="86" spans="2:2" x14ac:dyDescent="0.25">
      <c r="B86" t="s">
        <v>105</v>
      </c>
    </row>
    <row r="87" spans="2:2" x14ac:dyDescent="0.25">
      <c r="B87" t="s">
        <v>106</v>
      </c>
    </row>
    <row r="88" spans="2:2" x14ac:dyDescent="0.25">
      <c r="B88" t="s">
        <v>107</v>
      </c>
    </row>
    <row r="89" spans="2:2" x14ac:dyDescent="0.25">
      <c r="B89" t="s">
        <v>108</v>
      </c>
    </row>
    <row r="90" spans="2:2" x14ac:dyDescent="0.25">
      <c r="B90" t="s">
        <v>109</v>
      </c>
    </row>
    <row r="91" spans="2:2" x14ac:dyDescent="0.25">
      <c r="B91" t="s">
        <v>110</v>
      </c>
    </row>
    <row r="92" spans="2:2" x14ac:dyDescent="0.25">
      <c r="B92" t="s">
        <v>111</v>
      </c>
    </row>
    <row r="93" spans="2:2" x14ac:dyDescent="0.25">
      <c r="B93" t="s">
        <v>112</v>
      </c>
    </row>
    <row r="94" spans="2:2" x14ac:dyDescent="0.25">
      <c r="B94" t="s">
        <v>113</v>
      </c>
    </row>
    <row r="95" spans="2:2" x14ac:dyDescent="0.25">
      <c r="B95" t="s">
        <v>114</v>
      </c>
    </row>
    <row r="96" spans="2:2" x14ac:dyDescent="0.25">
      <c r="B96" t="s">
        <v>115</v>
      </c>
    </row>
    <row r="97" spans="2:2" x14ac:dyDescent="0.25">
      <c r="B97" t="s">
        <v>116</v>
      </c>
    </row>
    <row r="98" spans="2:2" x14ac:dyDescent="0.25">
      <c r="B98" t="s">
        <v>117</v>
      </c>
    </row>
    <row r="99" spans="2:2" x14ac:dyDescent="0.25">
      <c r="B99" t="s">
        <v>118</v>
      </c>
    </row>
    <row r="100" spans="2:2" x14ac:dyDescent="0.25">
      <c r="B100" t="s">
        <v>119</v>
      </c>
    </row>
    <row r="101" spans="2:2" x14ac:dyDescent="0.25">
      <c r="B101" t="s">
        <v>120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Weekly Rental Report</vt:lpstr>
      <vt:lpstr>Dropdowns</vt:lpstr>
    </vt:vector>
  </TitlesOfParts>
  <Company>Cleveland-Cliffs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Lawson, Alexander J</dc:creator>
  <cp:lastModifiedBy>Amber@marcustruckrental.net</cp:lastModifiedBy>
  <cp:lastPrinted>2025-05-15T16:13:03Z</cp:lastPrinted>
  <dcterms:created xsi:type="dcterms:W3CDTF">2025-04-30T12:46:35Z</dcterms:created>
  <dcterms:modified xsi:type="dcterms:W3CDTF">2026-03-17T15:09:47Z</dcterms:modified>
</cp:coreProperties>
</file>